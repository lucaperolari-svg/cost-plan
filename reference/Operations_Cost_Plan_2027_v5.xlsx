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uca.perolari\Downloads\"/>
    </mc:Choice>
  </mc:AlternateContent>
  <xr:revisionPtr revIDLastSave="0" documentId="11_B6F648D10FB36E138F3C2A4661ED51680C80949F" xr6:coauthVersionLast="47" xr6:coauthVersionMax="47" xr10:uidLastSave="{00000000-0000-0000-0000-000000000000}"/>
  <bookViews>
    <workbookView xWindow="28680" yWindow="-120" windowWidth="29040" windowHeight="17520" tabRatio="500" activeTab="1" xr2:uid="{00000000-000D-0000-FFFF-FFFF00000000}"/>
  </bookViews>
  <sheets>
    <sheet name="Read Me" sheetId="1" r:id="rId1"/>
    <sheet name="Summary" sheetId="2" r:id="rId2"/>
    <sheet name="Inputs" sheetId="3" r:id="rId3"/>
    <sheet name="Calculations" sheetId="4" r:id="rId4"/>
    <sheet name="Personnel" sheetId="5" r:id="rId5"/>
    <sheet name="Lists" sheetId="6"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C55" i="5" l="1"/>
  <c r="P55" i="5"/>
  <c r="O55" i="5"/>
  <c r="N55" i="5"/>
  <c r="M55" i="5"/>
  <c r="B55" i="5"/>
  <c r="AB54" i="5"/>
  <c r="Y54" i="5"/>
  <c r="N54" i="5"/>
  <c r="M54" i="5"/>
  <c r="B54" i="5"/>
  <c r="B53" i="5"/>
  <c r="B52" i="5"/>
  <c r="AD51" i="5"/>
  <c r="T51" i="5"/>
  <c r="Q51" i="5"/>
  <c r="P51" i="5"/>
  <c r="B51" i="5"/>
  <c r="AG47" i="5"/>
  <c r="AF47" i="5"/>
  <c r="AE47" i="5"/>
  <c r="AD47" i="5"/>
  <c r="AA47" i="5"/>
  <c r="Z47" i="5"/>
  <c r="U47" i="5"/>
  <c r="T47" i="5"/>
  <c r="S47" i="5"/>
  <c r="R47" i="5"/>
  <c r="Q47" i="5"/>
  <c r="AC47" i="5" s="1"/>
  <c r="P47" i="5"/>
  <c r="AB47" i="5" s="1"/>
  <c r="O47" i="5"/>
  <c r="N47" i="5"/>
  <c r="M47" i="5"/>
  <c r="Y47" i="5" s="1"/>
  <c r="L47" i="5"/>
  <c r="X47" i="5" s="1"/>
  <c r="K47" i="5"/>
  <c r="W47" i="5" s="1"/>
  <c r="J47" i="5"/>
  <c r="V47" i="5" s="1"/>
  <c r="AG46" i="5"/>
  <c r="AF46" i="5"/>
  <c r="AE46" i="5"/>
  <c r="AA46" i="5"/>
  <c r="Z46" i="5"/>
  <c r="Y46" i="5"/>
  <c r="U46" i="5"/>
  <c r="T46" i="5"/>
  <c r="S46" i="5"/>
  <c r="R46" i="5"/>
  <c r="AD46" i="5" s="1"/>
  <c r="Q46" i="5"/>
  <c r="AC46" i="5" s="1"/>
  <c r="P46" i="5"/>
  <c r="AB46" i="5" s="1"/>
  <c r="O46" i="5"/>
  <c r="N46" i="5"/>
  <c r="M46" i="5"/>
  <c r="L46" i="5"/>
  <c r="X46" i="5" s="1"/>
  <c r="K46" i="5"/>
  <c r="W46" i="5" s="1"/>
  <c r="J46" i="5"/>
  <c r="V46" i="5" s="1"/>
  <c r="AF45" i="5"/>
  <c r="AB45" i="5"/>
  <c r="AA45" i="5"/>
  <c r="Y45" i="5"/>
  <c r="U45" i="5"/>
  <c r="AG45" i="5" s="1"/>
  <c r="T45" i="5"/>
  <c r="S45" i="5"/>
  <c r="AE45" i="5" s="1"/>
  <c r="R45" i="5"/>
  <c r="AD45" i="5" s="1"/>
  <c r="Q45" i="5"/>
  <c r="AC45" i="5" s="1"/>
  <c r="P45" i="5"/>
  <c r="O45" i="5"/>
  <c r="N45" i="5"/>
  <c r="Z45" i="5" s="1"/>
  <c r="M45" i="5"/>
  <c r="L45" i="5"/>
  <c r="X45" i="5" s="1"/>
  <c r="K45" i="5"/>
  <c r="W45" i="5" s="1"/>
  <c r="J45" i="5"/>
  <c r="V45" i="5" s="1"/>
  <c r="AG44" i="5"/>
  <c r="AB44" i="5"/>
  <c r="AA44" i="5"/>
  <c r="Y44" i="5"/>
  <c r="U44" i="5"/>
  <c r="T44" i="5"/>
  <c r="AF44" i="5" s="1"/>
  <c r="S44" i="5"/>
  <c r="AE44" i="5" s="1"/>
  <c r="R44" i="5"/>
  <c r="AD44" i="5" s="1"/>
  <c r="Q44" i="5"/>
  <c r="AC44" i="5" s="1"/>
  <c r="P44" i="5"/>
  <c r="O44" i="5"/>
  <c r="N44" i="5"/>
  <c r="Z44" i="5" s="1"/>
  <c r="M44" i="5"/>
  <c r="L44" i="5"/>
  <c r="X44" i="5" s="1"/>
  <c r="K44" i="5"/>
  <c r="W44" i="5" s="1"/>
  <c r="J44" i="5"/>
  <c r="V44" i="5" s="1"/>
  <c r="AA43" i="5"/>
  <c r="Z43" i="5"/>
  <c r="U43" i="5"/>
  <c r="AG43" i="5" s="1"/>
  <c r="T43" i="5"/>
  <c r="AF43" i="5" s="1"/>
  <c r="S43" i="5"/>
  <c r="AE43" i="5" s="1"/>
  <c r="R43" i="5"/>
  <c r="AD43" i="5" s="1"/>
  <c r="Q43" i="5"/>
  <c r="AC43" i="5" s="1"/>
  <c r="P43" i="5"/>
  <c r="AB43" i="5" s="1"/>
  <c r="O43" i="5"/>
  <c r="N43" i="5"/>
  <c r="M43" i="5"/>
  <c r="Y43" i="5" s="1"/>
  <c r="L43" i="5"/>
  <c r="X43" i="5" s="1"/>
  <c r="K43" i="5"/>
  <c r="W43" i="5" s="1"/>
  <c r="J43" i="5"/>
  <c r="V43" i="5" s="1"/>
  <c r="AE42" i="5"/>
  <c r="AC42" i="5"/>
  <c r="AA42" i="5"/>
  <c r="Z42" i="5"/>
  <c r="W42" i="5"/>
  <c r="U42" i="5"/>
  <c r="AG42" i="5" s="1"/>
  <c r="T42" i="5"/>
  <c r="AF42" i="5" s="1"/>
  <c r="S42" i="5"/>
  <c r="R42" i="5"/>
  <c r="AD42" i="5" s="1"/>
  <c r="Q42" i="5"/>
  <c r="P42" i="5"/>
  <c r="AB42" i="5" s="1"/>
  <c r="O42" i="5"/>
  <c r="N42" i="5"/>
  <c r="M42" i="5"/>
  <c r="Y42" i="5" s="1"/>
  <c r="L42" i="5"/>
  <c r="X42" i="5" s="1"/>
  <c r="K42" i="5"/>
  <c r="J42" i="5"/>
  <c r="V42" i="5" s="1"/>
  <c r="AG41" i="5"/>
  <c r="AF41" i="5"/>
  <c r="AC41" i="5"/>
  <c r="AB41" i="5"/>
  <c r="Z41" i="5"/>
  <c r="Y41" i="5"/>
  <c r="X41" i="5"/>
  <c r="U41" i="5"/>
  <c r="T41" i="5"/>
  <c r="S41" i="5"/>
  <c r="AE41" i="5" s="1"/>
  <c r="R41" i="5"/>
  <c r="AD41" i="5" s="1"/>
  <c r="Q41" i="5"/>
  <c r="P41" i="5"/>
  <c r="O41" i="5"/>
  <c r="AA41" i="5" s="1"/>
  <c r="N41" i="5"/>
  <c r="M41" i="5"/>
  <c r="L41" i="5"/>
  <c r="K41" i="5"/>
  <c r="W41" i="5" s="1"/>
  <c r="J41" i="5"/>
  <c r="V41" i="5" s="1"/>
  <c r="AG40" i="5"/>
  <c r="AF40" i="5"/>
  <c r="AB40" i="5"/>
  <c r="AA40" i="5"/>
  <c r="Y40" i="5"/>
  <c r="U40" i="5"/>
  <c r="T40" i="5"/>
  <c r="S40" i="5"/>
  <c r="AE40" i="5" s="1"/>
  <c r="R40" i="5"/>
  <c r="AD40" i="5" s="1"/>
  <c r="Q40" i="5"/>
  <c r="AC40" i="5" s="1"/>
  <c r="P40" i="5"/>
  <c r="O40" i="5"/>
  <c r="N40" i="5"/>
  <c r="Z40" i="5" s="1"/>
  <c r="M40" i="5"/>
  <c r="L40" i="5"/>
  <c r="X40" i="5" s="1"/>
  <c r="K40" i="5"/>
  <c r="W40" i="5" s="1"/>
  <c r="J40" i="5"/>
  <c r="V40" i="5" s="1"/>
  <c r="AH40" i="5" s="1"/>
  <c r="AA39" i="5"/>
  <c r="Z39" i="5"/>
  <c r="U39" i="5"/>
  <c r="AG39" i="5" s="1"/>
  <c r="T39" i="5"/>
  <c r="AF39" i="5" s="1"/>
  <c r="S39" i="5"/>
  <c r="AE39" i="5" s="1"/>
  <c r="R39" i="5"/>
  <c r="AD39" i="5" s="1"/>
  <c r="Q39" i="5"/>
  <c r="AC39" i="5" s="1"/>
  <c r="P39" i="5"/>
  <c r="AB39" i="5" s="1"/>
  <c r="O39" i="5"/>
  <c r="N39" i="5"/>
  <c r="M39" i="5"/>
  <c r="Y39" i="5" s="1"/>
  <c r="L39" i="5"/>
  <c r="X39" i="5" s="1"/>
  <c r="K39" i="5"/>
  <c r="W39" i="5" s="1"/>
  <c r="J39" i="5"/>
  <c r="V39" i="5" s="1"/>
  <c r="AG38" i="5"/>
  <c r="AF38" i="5"/>
  <c r="AE38" i="5"/>
  <c r="AD38" i="5"/>
  <c r="U38" i="5"/>
  <c r="T38" i="5"/>
  <c r="S38" i="5"/>
  <c r="R38" i="5"/>
  <c r="Q38" i="5"/>
  <c r="AC38" i="5" s="1"/>
  <c r="P38" i="5"/>
  <c r="AB38" i="5" s="1"/>
  <c r="O38" i="5"/>
  <c r="AA38" i="5" s="1"/>
  <c r="N38" i="5"/>
  <c r="Z38" i="5" s="1"/>
  <c r="M38" i="5"/>
  <c r="Y38" i="5" s="1"/>
  <c r="L38" i="5"/>
  <c r="X38" i="5" s="1"/>
  <c r="K38" i="5"/>
  <c r="W38" i="5" s="1"/>
  <c r="J38" i="5"/>
  <c r="V38" i="5" s="1"/>
  <c r="AG37" i="5"/>
  <c r="AF37" i="5"/>
  <c r="AB37" i="5"/>
  <c r="U37" i="5"/>
  <c r="T37" i="5"/>
  <c r="S37" i="5"/>
  <c r="AE37" i="5" s="1"/>
  <c r="R37" i="5"/>
  <c r="AD37" i="5" s="1"/>
  <c r="Q37" i="5"/>
  <c r="AC37" i="5" s="1"/>
  <c r="P37" i="5"/>
  <c r="O37" i="5"/>
  <c r="AA37" i="5" s="1"/>
  <c r="N37" i="5"/>
  <c r="Z37" i="5" s="1"/>
  <c r="M37" i="5"/>
  <c r="Y37" i="5" s="1"/>
  <c r="L37" i="5"/>
  <c r="X37" i="5" s="1"/>
  <c r="K37" i="5"/>
  <c r="W37" i="5" s="1"/>
  <c r="J37" i="5"/>
  <c r="V37" i="5" s="1"/>
  <c r="AG36" i="5"/>
  <c r="AF36" i="5"/>
  <c r="AE36" i="5"/>
  <c r="AD36" i="5"/>
  <c r="AC36" i="5"/>
  <c r="U36" i="5"/>
  <c r="T36" i="5"/>
  <c r="S36" i="5"/>
  <c r="R36" i="5"/>
  <c r="Q36" i="5"/>
  <c r="P36" i="5"/>
  <c r="AB36" i="5" s="1"/>
  <c r="O36" i="5"/>
  <c r="AA36" i="5" s="1"/>
  <c r="N36" i="5"/>
  <c r="Z36" i="5" s="1"/>
  <c r="M36" i="5"/>
  <c r="Y36" i="5" s="1"/>
  <c r="L36" i="5"/>
  <c r="X36" i="5" s="1"/>
  <c r="K36" i="5"/>
  <c r="W36" i="5" s="1"/>
  <c r="J36" i="5"/>
  <c r="V36" i="5" s="1"/>
  <c r="AF35" i="5"/>
  <c r="AE35" i="5"/>
  <c r="AD35" i="5"/>
  <c r="X35" i="5"/>
  <c r="U35" i="5"/>
  <c r="AG35" i="5" s="1"/>
  <c r="T35" i="5"/>
  <c r="S35" i="5"/>
  <c r="R35" i="5"/>
  <c r="Q35" i="5"/>
  <c r="AC35" i="5" s="1"/>
  <c r="P35" i="5"/>
  <c r="AB35" i="5" s="1"/>
  <c r="O35" i="5"/>
  <c r="AA35" i="5" s="1"/>
  <c r="N35" i="5"/>
  <c r="Z35" i="5" s="1"/>
  <c r="M35" i="5"/>
  <c r="Y35" i="5" s="1"/>
  <c r="L35" i="5"/>
  <c r="K35" i="5"/>
  <c r="W35" i="5" s="1"/>
  <c r="J35" i="5"/>
  <c r="V35" i="5" s="1"/>
  <c r="AG34" i="5"/>
  <c r="AE34" i="5"/>
  <c r="AB34" i="5"/>
  <c r="Y34" i="5"/>
  <c r="X34" i="5"/>
  <c r="U34" i="5"/>
  <c r="T34" i="5"/>
  <c r="AF34" i="5" s="1"/>
  <c r="S34" i="5"/>
  <c r="R34" i="5"/>
  <c r="AD34" i="5" s="1"/>
  <c r="Q34" i="5"/>
  <c r="AC34" i="5" s="1"/>
  <c r="P34" i="5"/>
  <c r="O34" i="5"/>
  <c r="AA34" i="5" s="1"/>
  <c r="N34" i="5"/>
  <c r="Z34" i="5" s="1"/>
  <c r="M34" i="5"/>
  <c r="L34" i="5"/>
  <c r="K34" i="5"/>
  <c r="W34" i="5" s="1"/>
  <c r="J34" i="5"/>
  <c r="V34" i="5" s="1"/>
  <c r="AG33" i="5"/>
  <c r="AF33" i="5"/>
  <c r="Y33" i="5"/>
  <c r="W33" i="5"/>
  <c r="U33" i="5"/>
  <c r="T33" i="5"/>
  <c r="S33" i="5"/>
  <c r="AE33" i="5" s="1"/>
  <c r="R33" i="5"/>
  <c r="AD33" i="5" s="1"/>
  <c r="Q33" i="5"/>
  <c r="AC33" i="5" s="1"/>
  <c r="P33" i="5"/>
  <c r="AB33" i="5" s="1"/>
  <c r="O33" i="5"/>
  <c r="AA33" i="5" s="1"/>
  <c r="N33" i="5"/>
  <c r="Z33" i="5" s="1"/>
  <c r="M33" i="5"/>
  <c r="L33" i="5"/>
  <c r="X33" i="5" s="1"/>
  <c r="K33" i="5"/>
  <c r="J33" i="5"/>
  <c r="V33" i="5" s="1"/>
  <c r="AH33" i="5" s="1"/>
  <c r="U32" i="5"/>
  <c r="AG32" i="5" s="1"/>
  <c r="T32" i="5"/>
  <c r="AF32" i="5" s="1"/>
  <c r="S32" i="5"/>
  <c r="AE32" i="5" s="1"/>
  <c r="R32" i="5"/>
  <c r="AD32" i="5" s="1"/>
  <c r="Q32" i="5"/>
  <c r="AC32" i="5" s="1"/>
  <c r="P32" i="5"/>
  <c r="AB32" i="5" s="1"/>
  <c r="O32" i="5"/>
  <c r="AA32" i="5" s="1"/>
  <c r="N32" i="5"/>
  <c r="Z32" i="5" s="1"/>
  <c r="M32" i="5"/>
  <c r="Y32" i="5" s="1"/>
  <c r="L32" i="5"/>
  <c r="X32" i="5" s="1"/>
  <c r="K32" i="5"/>
  <c r="W32" i="5" s="1"/>
  <c r="J32" i="5"/>
  <c r="V32" i="5" s="1"/>
  <c r="AH32" i="5" s="1"/>
  <c r="U31" i="5"/>
  <c r="AG31" i="5" s="1"/>
  <c r="T31" i="5"/>
  <c r="AF31" i="5" s="1"/>
  <c r="S31" i="5"/>
  <c r="AE31" i="5" s="1"/>
  <c r="R31" i="5"/>
  <c r="AD31" i="5" s="1"/>
  <c r="Q31" i="5"/>
  <c r="AC31" i="5" s="1"/>
  <c r="P31" i="5"/>
  <c r="AB31" i="5" s="1"/>
  <c r="O31" i="5"/>
  <c r="AA31" i="5" s="1"/>
  <c r="N31" i="5"/>
  <c r="Z31" i="5" s="1"/>
  <c r="M31" i="5"/>
  <c r="Y31" i="5" s="1"/>
  <c r="L31" i="5"/>
  <c r="X31" i="5" s="1"/>
  <c r="K31" i="5"/>
  <c r="W31" i="5" s="1"/>
  <c r="J31" i="5"/>
  <c r="V31" i="5" s="1"/>
  <c r="AF30" i="5"/>
  <c r="AC30" i="5"/>
  <c r="AB30" i="5"/>
  <c r="AA30" i="5"/>
  <c r="Y30" i="5"/>
  <c r="X30" i="5"/>
  <c r="U30" i="5"/>
  <c r="AG30" i="5" s="1"/>
  <c r="T30" i="5"/>
  <c r="S30" i="5"/>
  <c r="AE30" i="5" s="1"/>
  <c r="R30" i="5"/>
  <c r="AD30" i="5" s="1"/>
  <c r="Q30" i="5"/>
  <c r="P30" i="5"/>
  <c r="O30" i="5"/>
  <c r="N30" i="5"/>
  <c r="Z30" i="5" s="1"/>
  <c r="M30" i="5"/>
  <c r="L30" i="5"/>
  <c r="K30" i="5"/>
  <c r="W30" i="5" s="1"/>
  <c r="J30" i="5"/>
  <c r="V30" i="5" s="1"/>
  <c r="AF29" i="5"/>
  <c r="AE29" i="5"/>
  <c r="AD29" i="5"/>
  <c r="AA29" i="5"/>
  <c r="Z29" i="5"/>
  <c r="X29" i="5"/>
  <c r="U29" i="5"/>
  <c r="AG29" i="5" s="1"/>
  <c r="T29" i="5"/>
  <c r="S29" i="5"/>
  <c r="R29" i="5"/>
  <c r="Q29" i="5"/>
  <c r="AC29" i="5" s="1"/>
  <c r="P29" i="5"/>
  <c r="AB29" i="5" s="1"/>
  <c r="O29" i="5"/>
  <c r="N29" i="5"/>
  <c r="M29" i="5"/>
  <c r="Y29" i="5" s="1"/>
  <c r="L29" i="5"/>
  <c r="K29" i="5"/>
  <c r="W29" i="5" s="1"/>
  <c r="J29" i="5"/>
  <c r="V29" i="5" s="1"/>
  <c r="AG28" i="5"/>
  <c r="AE28" i="5"/>
  <c r="AD28" i="5"/>
  <c r="Z28" i="5"/>
  <c r="Y28" i="5"/>
  <c r="U28" i="5"/>
  <c r="T28" i="5"/>
  <c r="AF28" i="5" s="1"/>
  <c r="S28" i="5"/>
  <c r="R28" i="5"/>
  <c r="Q28" i="5"/>
  <c r="AC28" i="5" s="1"/>
  <c r="P28" i="5"/>
  <c r="AB28" i="5" s="1"/>
  <c r="O28" i="5"/>
  <c r="AA28" i="5" s="1"/>
  <c r="N28" i="5"/>
  <c r="M28" i="5"/>
  <c r="L28" i="5"/>
  <c r="X28" i="5" s="1"/>
  <c r="K28" i="5"/>
  <c r="W28" i="5" s="1"/>
  <c r="J28" i="5"/>
  <c r="V28" i="5" s="1"/>
  <c r="AG27" i="5"/>
  <c r="AF27" i="5"/>
  <c r="U27" i="5"/>
  <c r="T27" i="5"/>
  <c r="S27" i="5"/>
  <c r="AE27" i="5" s="1"/>
  <c r="R27" i="5"/>
  <c r="AD27" i="5" s="1"/>
  <c r="Q27" i="5"/>
  <c r="AC27" i="5" s="1"/>
  <c r="P27" i="5"/>
  <c r="AB27" i="5" s="1"/>
  <c r="O27" i="5"/>
  <c r="AA27" i="5" s="1"/>
  <c r="N27" i="5"/>
  <c r="Z27" i="5" s="1"/>
  <c r="M27" i="5"/>
  <c r="Y27" i="5" s="1"/>
  <c r="L27" i="5"/>
  <c r="X27" i="5" s="1"/>
  <c r="K27" i="5"/>
  <c r="W27" i="5" s="1"/>
  <c r="J27" i="5"/>
  <c r="V27" i="5" s="1"/>
  <c r="AG26" i="5"/>
  <c r="AF26" i="5"/>
  <c r="AE26" i="5"/>
  <c r="AC26" i="5"/>
  <c r="AB26" i="5"/>
  <c r="AA26" i="5"/>
  <c r="U26" i="5"/>
  <c r="T26" i="5"/>
  <c r="S26" i="5"/>
  <c r="R26" i="5"/>
  <c r="AD26" i="5" s="1"/>
  <c r="Q26" i="5"/>
  <c r="P26" i="5"/>
  <c r="O26" i="5"/>
  <c r="N26" i="5"/>
  <c r="Z26" i="5" s="1"/>
  <c r="M26" i="5"/>
  <c r="Y26" i="5" s="1"/>
  <c r="L26" i="5"/>
  <c r="X26" i="5" s="1"/>
  <c r="K26" i="5"/>
  <c r="W26" i="5" s="1"/>
  <c r="J26" i="5"/>
  <c r="V26" i="5" s="1"/>
  <c r="AF25" i="5"/>
  <c r="AE25" i="5"/>
  <c r="AD25" i="5"/>
  <c r="Y25" i="5"/>
  <c r="U25" i="5"/>
  <c r="AG25" i="5" s="1"/>
  <c r="T25" i="5"/>
  <c r="S25" i="5"/>
  <c r="R25" i="5"/>
  <c r="Q25" i="5"/>
  <c r="AC25" i="5" s="1"/>
  <c r="P25" i="5"/>
  <c r="AB25" i="5" s="1"/>
  <c r="O25" i="5"/>
  <c r="AA25" i="5" s="1"/>
  <c r="N25" i="5"/>
  <c r="Z25" i="5" s="1"/>
  <c r="M25" i="5"/>
  <c r="L25" i="5"/>
  <c r="X25" i="5" s="1"/>
  <c r="K25" i="5"/>
  <c r="W25" i="5" s="1"/>
  <c r="J25" i="5"/>
  <c r="V25" i="5" s="1"/>
  <c r="AG24" i="5"/>
  <c r="AE24" i="5"/>
  <c r="AD24" i="5"/>
  <c r="AC24" i="5"/>
  <c r="Y24" i="5"/>
  <c r="U24" i="5"/>
  <c r="T24" i="5"/>
  <c r="AF24" i="5" s="1"/>
  <c r="S24" i="5"/>
  <c r="R24" i="5"/>
  <c r="Q24" i="5"/>
  <c r="P24" i="5"/>
  <c r="AB24" i="5" s="1"/>
  <c r="O24" i="5"/>
  <c r="AA24" i="5" s="1"/>
  <c r="N24" i="5"/>
  <c r="Z24" i="5" s="1"/>
  <c r="M24" i="5"/>
  <c r="L24" i="5"/>
  <c r="X24" i="5" s="1"/>
  <c r="K24" i="5"/>
  <c r="W24" i="5" s="1"/>
  <c r="J24" i="5"/>
  <c r="V24" i="5" s="1"/>
  <c r="AG23" i="5"/>
  <c r="AF23" i="5"/>
  <c r="AD23" i="5"/>
  <c r="W23" i="5"/>
  <c r="U23" i="5"/>
  <c r="T23" i="5"/>
  <c r="S23" i="5"/>
  <c r="AE23" i="5" s="1"/>
  <c r="R23" i="5"/>
  <c r="Q23" i="5"/>
  <c r="AC23" i="5" s="1"/>
  <c r="P23" i="5"/>
  <c r="AB23" i="5" s="1"/>
  <c r="O23" i="5"/>
  <c r="AA23" i="5" s="1"/>
  <c r="N23" i="5"/>
  <c r="Z23" i="5" s="1"/>
  <c r="M23" i="5"/>
  <c r="Y23" i="5" s="1"/>
  <c r="L23" i="5"/>
  <c r="X23" i="5" s="1"/>
  <c r="K23" i="5"/>
  <c r="J23" i="5"/>
  <c r="V23" i="5" s="1"/>
  <c r="AF22" i="5"/>
  <c r="AE22" i="5"/>
  <c r="U22" i="5"/>
  <c r="AG22" i="5" s="1"/>
  <c r="T22" i="5"/>
  <c r="S22" i="5"/>
  <c r="R22" i="5"/>
  <c r="AD22" i="5" s="1"/>
  <c r="Q22" i="5"/>
  <c r="AC22" i="5" s="1"/>
  <c r="P22" i="5"/>
  <c r="AB22" i="5" s="1"/>
  <c r="O22" i="5"/>
  <c r="AA22" i="5" s="1"/>
  <c r="N22" i="5"/>
  <c r="Z22" i="5" s="1"/>
  <c r="M22" i="5"/>
  <c r="Y22" i="5" s="1"/>
  <c r="L22" i="5"/>
  <c r="X22" i="5" s="1"/>
  <c r="K22" i="5"/>
  <c r="W22" i="5" s="1"/>
  <c r="J22" i="5"/>
  <c r="V22" i="5" s="1"/>
  <c r="U21" i="5"/>
  <c r="AG21" i="5" s="1"/>
  <c r="T21" i="5"/>
  <c r="AF21" i="5" s="1"/>
  <c r="S21" i="5"/>
  <c r="AE21" i="5" s="1"/>
  <c r="R21" i="5"/>
  <c r="AD21" i="5" s="1"/>
  <c r="Q21" i="5"/>
  <c r="AC21" i="5" s="1"/>
  <c r="P21" i="5"/>
  <c r="AB21" i="5" s="1"/>
  <c r="O21" i="5"/>
  <c r="AA21" i="5" s="1"/>
  <c r="N21" i="5"/>
  <c r="Z21" i="5" s="1"/>
  <c r="M21" i="5"/>
  <c r="Y21" i="5" s="1"/>
  <c r="L21" i="5"/>
  <c r="X21" i="5" s="1"/>
  <c r="K21" i="5"/>
  <c r="W21" i="5" s="1"/>
  <c r="J21" i="5"/>
  <c r="V21" i="5" s="1"/>
  <c r="U20" i="5"/>
  <c r="AG20" i="5" s="1"/>
  <c r="T20" i="5"/>
  <c r="AF20" i="5" s="1"/>
  <c r="S20" i="5"/>
  <c r="AE20" i="5" s="1"/>
  <c r="R20" i="5"/>
  <c r="AD20" i="5" s="1"/>
  <c r="Q20" i="5"/>
  <c r="AC20" i="5" s="1"/>
  <c r="P20" i="5"/>
  <c r="AB20" i="5" s="1"/>
  <c r="O20" i="5"/>
  <c r="AA20" i="5" s="1"/>
  <c r="N20" i="5"/>
  <c r="Z20" i="5" s="1"/>
  <c r="Z53" i="5" s="1"/>
  <c r="M20" i="5"/>
  <c r="Y20" i="5" s="1"/>
  <c r="L20" i="5"/>
  <c r="X20" i="5" s="1"/>
  <c r="K20" i="5"/>
  <c r="W20" i="5" s="1"/>
  <c r="J20" i="5"/>
  <c r="V20" i="5" s="1"/>
  <c r="AE19" i="5"/>
  <c r="U19" i="5"/>
  <c r="AG19" i="5" s="1"/>
  <c r="T19" i="5"/>
  <c r="AF19" i="5" s="1"/>
  <c r="S19" i="5"/>
  <c r="R19" i="5"/>
  <c r="AD19" i="5" s="1"/>
  <c r="Q19" i="5"/>
  <c r="AC19" i="5" s="1"/>
  <c r="P19" i="5"/>
  <c r="AB19" i="5" s="1"/>
  <c r="O19" i="5"/>
  <c r="AA19" i="5" s="1"/>
  <c r="N19" i="5"/>
  <c r="Z19" i="5" s="1"/>
  <c r="M19" i="5"/>
  <c r="Y19" i="5" s="1"/>
  <c r="L19" i="5"/>
  <c r="X19" i="5" s="1"/>
  <c r="K19" i="5"/>
  <c r="W19" i="5" s="1"/>
  <c r="J19" i="5"/>
  <c r="V19" i="5" s="1"/>
  <c r="AH19" i="5" s="1"/>
  <c r="AF18" i="5"/>
  <c r="U18" i="5"/>
  <c r="AG18" i="5" s="1"/>
  <c r="T18" i="5"/>
  <c r="S18" i="5"/>
  <c r="AE18" i="5" s="1"/>
  <c r="R18" i="5"/>
  <c r="AD18" i="5" s="1"/>
  <c r="Q18" i="5"/>
  <c r="AC18" i="5" s="1"/>
  <c r="P18" i="5"/>
  <c r="AB18" i="5" s="1"/>
  <c r="O18" i="5"/>
  <c r="AA18" i="5" s="1"/>
  <c r="N18" i="5"/>
  <c r="Z18" i="5" s="1"/>
  <c r="M18" i="5"/>
  <c r="Y18" i="5" s="1"/>
  <c r="L18" i="5"/>
  <c r="X18" i="5" s="1"/>
  <c r="K18" i="5"/>
  <c r="W18" i="5" s="1"/>
  <c r="J18" i="5"/>
  <c r="V18" i="5" s="1"/>
  <c r="AG17" i="5"/>
  <c r="AF17" i="5"/>
  <c r="AC17" i="5"/>
  <c r="AB17" i="5"/>
  <c r="Y17" i="5"/>
  <c r="X17" i="5"/>
  <c r="W17" i="5"/>
  <c r="U17" i="5"/>
  <c r="T17" i="5"/>
  <c r="S17" i="5"/>
  <c r="AE17" i="5" s="1"/>
  <c r="R17" i="5"/>
  <c r="AD17" i="5" s="1"/>
  <c r="Q17" i="5"/>
  <c r="P17" i="5"/>
  <c r="O17" i="5"/>
  <c r="AA17" i="5" s="1"/>
  <c r="N17" i="5"/>
  <c r="Z17" i="5" s="1"/>
  <c r="M17" i="5"/>
  <c r="L17" i="5"/>
  <c r="K17" i="5"/>
  <c r="K54" i="5" s="1"/>
  <c r="J17" i="5"/>
  <c r="V17" i="5" s="1"/>
  <c r="AC16" i="5"/>
  <c r="AC54" i="5" s="1"/>
  <c r="AB16" i="5"/>
  <c r="Y16" i="5"/>
  <c r="U16" i="5"/>
  <c r="AG16" i="5" s="1"/>
  <c r="T16" i="5"/>
  <c r="AF16" i="5" s="1"/>
  <c r="S16" i="5"/>
  <c r="R16" i="5"/>
  <c r="Q16" i="5"/>
  <c r="Q54" i="5" s="1"/>
  <c r="P16" i="5"/>
  <c r="P54" i="5" s="1"/>
  <c r="O16" i="5"/>
  <c r="AA16" i="5" s="1"/>
  <c r="AA54" i="5" s="1"/>
  <c r="N16" i="5"/>
  <c r="Z16" i="5" s="1"/>
  <c r="Z54" i="5" s="1"/>
  <c r="M16" i="5"/>
  <c r="L16" i="5"/>
  <c r="L54" i="5" s="1"/>
  <c r="K16" i="5"/>
  <c r="W16" i="5" s="1"/>
  <c r="J16" i="5"/>
  <c r="J54" i="5" s="1"/>
  <c r="AG15" i="5"/>
  <c r="AF15" i="5"/>
  <c r="AC15" i="5"/>
  <c r="AB15" i="5"/>
  <c r="Y15" i="5"/>
  <c r="U15" i="5"/>
  <c r="T15" i="5"/>
  <c r="S15" i="5"/>
  <c r="AE15" i="5" s="1"/>
  <c r="R15" i="5"/>
  <c r="AD15" i="5" s="1"/>
  <c r="AH15" i="5" s="1"/>
  <c r="Q15" i="5"/>
  <c r="P15" i="5"/>
  <c r="O15" i="5"/>
  <c r="AA15" i="5" s="1"/>
  <c r="N15" i="5"/>
  <c r="Z15" i="5" s="1"/>
  <c r="M15" i="5"/>
  <c r="L15" i="5"/>
  <c r="X15" i="5" s="1"/>
  <c r="K15" i="5"/>
  <c r="W15" i="5" s="1"/>
  <c r="J15" i="5"/>
  <c r="V15" i="5" s="1"/>
  <c r="AF14" i="5"/>
  <c r="AF55" i="5" s="1"/>
  <c r="M44" i="2" s="1"/>
  <c r="AE14" i="5"/>
  <c r="AC14" i="5"/>
  <c r="AB14" i="5"/>
  <c r="AB55" i="5" s="1"/>
  <c r="U14" i="5"/>
  <c r="AG14" i="5" s="1"/>
  <c r="AG55" i="5" s="1"/>
  <c r="N44" i="2" s="1"/>
  <c r="T14" i="5"/>
  <c r="T55" i="5" s="1"/>
  <c r="S14" i="5"/>
  <c r="R14" i="5"/>
  <c r="AD14" i="5" s="1"/>
  <c r="Q14" i="5"/>
  <c r="Q55" i="5" s="1"/>
  <c r="P14" i="5"/>
  <c r="O14" i="5"/>
  <c r="AA14" i="5" s="1"/>
  <c r="AA55" i="5" s="1"/>
  <c r="N14" i="5"/>
  <c r="Z14" i="5" s="1"/>
  <c r="Z55" i="5" s="1"/>
  <c r="M14" i="5"/>
  <c r="Y14" i="5" s="1"/>
  <c r="L14" i="5"/>
  <c r="L55" i="5" s="1"/>
  <c r="K14" i="5"/>
  <c r="W14" i="5" s="1"/>
  <c r="J14" i="5"/>
  <c r="V14" i="5" s="1"/>
  <c r="AG13" i="5"/>
  <c r="AG51" i="5" s="1"/>
  <c r="AF13" i="5"/>
  <c r="AF51" i="5" s="1"/>
  <c r="AC13" i="5"/>
  <c r="AB13" i="5"/>
  <c r="AB51" i="5" s="1"/>
  <c r="U13" i="5"/>
  <c r="U51" i="5" s="1"/>
  <c r="T13" i="5"/>
  <c r="S13" i="5"/>
  <c r="S51" i="5" s="1"/>
  <c r="R13" i="5"/>
  <c r="AD13" i="5" s="1"/>
  <c r="Q13" i="5"/>
  <c r="P13" i="5"/>
  <c r="O13" i="5"/>
  <c r="AA13" i="5" s="1"/>
  <c r="N13" i="5"/>
  <c r="Z13" i="5" s="1"/>
  <c r="M13" i="5"/>
  <c r="Y13" i="5" s="1"/>
  <c r="Y51" i="5" s="1"/>
  <c r="L13" i="5"/>
  <c r="K13" i="5"/>
  <c r="J13" i="5"/>
  <c r="AC12" i="5"/>
  <c r="AB12" i="5"/>
  <c r="U12" i="5"/>
  <c r="AG12" i="5" s="1"/>
  <c r="T12" i="5"/>
  <c r="AF12" i="5" s="1"/>
  <c r="S12" i="5"/>
  <c r="AE12" i="5" s="1"/>
  <c r="R12" i="5"/>
  <c r="AD12" i="5" s="1"/>
  <c r="Q12" i="5"/>
  <c r="P12" i="5"/>
  <c r="O12" i="5"/>
  <c r="AA12" i="5" s="1"/>
  <c r="N12" i="5"/>
  <c r="Z12" i="5" s="1"/>
  <c r="M12" i="5"/>
  <c r="Y12" i="5" s="1"/>
  <c r="L12" i="5"/>
  <c r="X12" i="5" s="1"/>
  <c r="K12" i="5"/>
  <c r="W12" i="5" s="1"/>
  <c r="J12" i="5"/>
  <c r="V12" i="5" s="1"/>
  <c r="AH12" i="5" s="1"/>
  <c r="AG11" i="5"/>
  <c r="AF11" i="5"/>
  <c r="AE11" i="5"/>
  <c r="AC11" i="5"/>
  <c r="U11" i="5"/>
  <c r="T11" i="5"/>
  <c r="S11" i="5"/>
  <c r="R11" i="5"/>
  <c r="AD11" i="5" s="1"/>
  <c r="Q11" i="5"/>
  <c r="P11" i="5"/>
  <c r="AB11" i="5" s="1"/>
  <c r="O11" i="5"/>
  <c r="AA11" i="5" s="1"/>
  <c r="N11" i="5"/>
  <c r="Z11" i="5" s="1"/>
  <c r="M11" i="5"/>
  <c r="Y11" i="5" s="1"/>
  <c r="L11" i="5"/>
  <c r="X11" i="5" s="1"/>
  <c r="K11" i="5"/>
  <c r="W11" i="5" s="1"/>
  <c r="J11" i="5"/>
  <c r="V11" i="5" s="1"/>
  <c r="AE10" i="5"/>
  <c r="X10" i="5"/>
  <c r="U10" i="5"/>
  <c r="AG10" i="5" s="1"/>
  <c r="AG52" i="5" s="1"/>
  <c r="T10" i="5"/>
  <c r="AF10" i="5" s="1"/>
  <c r="S10" i="5"/>
  <c r="R10" i="5"/>
  <c r="AD10" i="5" s="1"/>
  <c r="Q10" i="5"/>
  <c r="AC10" i="5" s="1"/>
  <c r="P10" i="5"/>
  <c r="AB10" i="5" s="1"/>
  <c r="O10" i="5"/>
  <c r="AA10" i="5" s="1"/>
  <c r="N10" i="5"/>
  <c r="Z10" i="5" s="1"/>
  <c r="M10" i="5"/>
  <c r="Y10" i="5" s="1"/>
  <c r="L10" i="5"/>
  <c r="K10" i="5"/>
  <c r="W10" i="5" s="1"/>
  <c r="J10" i="5"/>
  <c r="V10" i="5" s="1"/>
  <c r="AG9" i="5"/>
  <c r="U9" i="5"/>
  <c r="T9" i="5"/>
  <c r="AF9" i="5" s="1"/>
  <c r="S9" i="5"/>
  <c r="AE9" i="5" s="1"/>
  <c r="R9" i="5"/>
  <c r="AD9" i="5" s="1"/>
  <c r="Q9" i="5"/>
  <c r="AC9" i="5" s="1"/>
  <c r="P9" i="5"/>
  <c r="AB9" i="5" s="1"/>
  <c r="O9" i="5"/>
  <c r="AA9" i="5" s="1"/>
  <c r="N9" i="5"/>
  <c r="Z9" i="5" s="1"/>
  <c r="M9" i="5"/>
  <c r="Y9" i="5" s="1"/>
  <c r="L9" i="5"/>
  <c r="X9" i="5" s="1"/>
  <c r="K9" i="5"/>
  <c r="W9" i="5" s="1"/>
  <c r="J9" i="5"/>
  <c r="V9" i="5" s="1"/>
  <c r="AG8" i="5"/>
  <c r="AF8" i="5"/>
  <c r="AD8" i="5"/>
  <c r="AA8" i="5"/>
  <c r="AA53" i="5" s="1"/>
  <c r="U8" i="5"/>
  <c r="T8" i="5"/>
  <c r="T53" i="5" s="1"/>
  <c r="S8" i="5"/>
  <c r="AE8" i="5" s="1"/>
  <c r="R8" i="5"/>
  <c r="Q8" i="5"/>
  <c r="AC8" i="5" s="1"/>
  <c r="P8" i="5"/>
  <c r="AB8" i="5" s="1"/>
  <c r="O8" i="5"/>
  <c r="N8" i="5"/>
  <c r="Z8" i="5" s="1"/>
  <c r="M8" i="5"/>
  <c r="Y8" i="5" s="1"/>
  <c r="L8" i="5"/>
  <c r="X8" i="5" s="1"/>
  <c r="K8" i="5"/>
  <c r="W8" i="5" s="1"/>
  <c r="J8" i="5"/>
  <c r="V8" i="5" s="1"/>
  <c r="N68" i="4"/>
  <c r="M68" i="4"/>
  <c r="L68" i="4"/>
  <c r="K68" i="4"/>
  <c r="J68" i="4"/>
  <c r="I68" i="4"/>
  <c r="I35" i="2" s="1"/>
  <c r="H68" i="4"/>
  <c r="G68" i="4"/>
  <c r="F68" i="4"/>
  <c r="E68" i="4"/>
  <c r="D68" i="4"/>
  <c r="C68" i="4"/>
  <c r="L67" i="4"/>
  <c r="I67" i="4"/>
  <c r="I36" i="2" s="1"/>
  <c r="H67" i="4"/>
  <c r="H36" i="2" s="1"/>
  <c r="N66" i="4"/>
  <c r="M66" i="4"/>
  <c r="L66" i="4"/>
  <c r="K66" i="4"/>
  <c r="J66" i="4"/>
  <c r="I66" i="4"/>
  <c r="H66" i="4"/>
  <c r="G66" i="4"/>
  <c r="F66" i="4"/>
  <c r="E66" i="4"/>
  <c r="D66" i="4"/>
  <c r="C66" i="4"/>
  <c r="N61" i="4"/>
  <c r="N29" i="2" s="1"/>
  <c r="M61" i="4"/>
  <c r="L61" i="4"/>
  <c r="K61" i="4"/>
  <c r="J61" i="4"/>
  <c r="I61" i="4"/>
  <c r="H61" i="4"/>
  <c r="G61" i="4"/>
  <c r="F61" i="4"/>
  <c r="E61" i="4"/>
  <c r="D61" i="4"/>
  <c r="C61" i="4"/>
  <c r="K60" i="4"/>
  <c r="J60" i="4"/>
  <c r="H60" i="4"/>
  <c r="F60" i="4"/>
  <c r="E60" i="4"/>
  <c r="C60" i="4"/>
  <c r="N59" i="4"/>
  <c r="N60" i="4" s="1"/>
  <c r="N28" i="2" s="1"/>
  <c r="M59" i="4"/>
  <c r="M60" i="4" s="1"/>
  <c r="L59" i="4"/>
  <c r="L60" i="4" s="1"/>
  <c r="K59" i="4"/>
  <c r="J59" i="4"/>
  <c r="I59" i="4"/>
  <c r="I60" i="4" s="1"/>
  <c r="H59" i="4"/>
  <c r="G59" i="4"/>
  <c r="G60" i="4" s="1"/>
  <c r="F59" i="4"/>
  <c r="E59" i="4"/>
  <c r="D59" i="4"/>
  <c r="D60" i="4" s="1"/>
  <c r="D28" i="2" s="1"/>
  <c r="C59" i="4"/>
  <c r="O59" i="4" s="1"/>
  <c r="L13" i="4"/>
  <c r="H13" i="4"/>
  <c r="C13" i="4"/>
  <c r="C9" i="4"/>
  <c r="N8" i="4"/>
  <c r="N67" i="4" s="1"/>
  <c r="M8" i="4"/>
  <c r="M13" i="4" s="1"/>
  <c r="L8" i="4"/>
  <c r="K8" i="4"/>
  <c r="J8" i="4"/>
  <c r="J63" i="2" s="1"/>
  <c r="I8" i="4"/>
  <c r="I13" i="4" s="1"/>
  <c r="H8" i="4"/>
  <c r="G8" i="4"/>
  <c r="F8" i="4"/>
  <c r="E8" i="4"/>
  <c r="E63" i="2" s="1"/>
  <c r="D8" i="4"/>
  <c r="C8" i="4"/>
  <c r="C52" i="3"/>
  <c r="C51" i="3"/>
  <c r="C31" i="3"/>
  <c r="C27" i="3"/>
  <c r="C21" i="3"/>
  <c r="O6" i="3"/>
  <c r="C13" i="3" s="1"/>
  <c r="C14" i="3" s="1"/>
  <c r="N63" i="2"/>
  <c r="M63" i="2"/>
  <c r="L63" i="2"/>
  <c r="I63" i="2"/>
  <c r="H63" i="2"/>
  <c r="G63" i="2"/>
  <c r="H59" i="2"/>
  <c r="J44" i="2"/>
  <c r="I44" i="2"/>
  <c r="H44" i="2"/>
  <c r="G44" i="2"/>
  <c r="A44" i="2"/>
  <c r="J43" i="2"/>
  <c r="I43" i="2"/>
  <c r="H43" i="2"/>
  <c r="G43" i="2"/>
  <c r="F43" i="2"/>
  <c r="A43" i="2"/>
  <c r="N42" i="2"/>
  <c r="A42" i="2"/>
  <c r="N41" i="2"/>
  <c r="M41" i="2"/>
  <c r="K41" i="2"/>
  <c r="I41" i="2"/>
  <c r="F41" i="2"/>
  <c r="A41" i="2"/>
  <c r="H40" i="2"/>
  <c r="G40" i="2"/>
  <c r="A40" i="2"/>
  <c r="N36" i="2"/>
  <c r="L36" i="2"/>
  <c r="N35" i="2"/>
  <c r="M35" i="2"/>
  <c r="L35" i="2"/>
  <c r="K35" i="2"/>
  <c r="J35" i="2"/>
  <c r="H35" i="2"/>
  <c r="G35" i="2"/>
  <c r="G59" i="2" s="1"/>
  <c r="F35" i="2"/>
  <c r="F59" i="2" s="1"/>
  <c r="E35" i="2"/>
  <c r="D35" i="2"/>
  <c r="C35" i="2"/>
  <c r="N34" i="2"/>
  <c r="M34" i="2"/>
  <c r="L34" i="2"/>
  <c r="K34" i="2"/>
  <c r="J34" i="2"/>
  <c r="I34" i="2"/>
  <c r="H34" i="2"/>
  <c r="G34" i="2"/>
  <c r="F34" i="2"/>
  <c r="E34" i="2"/>
  <c r="D34" i="2"/>
  <c r="C34" i="2"/>
  <c r="M29" i="2"/>
  <c r="L29" i="2"/>
  <c r="K29" i="2"/>
  <c r="J29" i="2"/>
  <c r="I29" i="2"/>
  <c r="H29" i="2"/>
  <c r="G29" i="2"/>
  <c r="F29" i="2"/>
  <c r="F30" i="2" s="1"/>
  <c r="E29" i="2"/>
  <c r="D29" i="2"/>
  <c r="C29" i="2"/>
  <c r="M28" i="2"/>
  <c r="M30" i="2" s="1"/>
  <c r="L28" i="2"/>
  <c r="K28" i="2"/>
  <c r="J28" i="2"/>
  <c r="J30" i="2" s="1"/>
  <c r="I28" i="2"/>
  <c r="I30" i="2" s="1"/>
  <c r="H28" i="2"/>
  <c r="H30" i="2" s="1"/>
  <c r="G28" i="2"/>
  <c r="G30" i="2" s="1"/>
  <c r="F28" i="2"/>
  <c r="E28" i="2"/>
  <c r="D30" i="2" l="1"/>
  <c r="N30" i="2"/>
  <c r="N59" i="2"/>
  <c r="L30" i="2"/>
  <c r="C28" i="2"/>
  <c r="O60" i="4"/>
  <c r="O28" i="2" s="1"/>
  <c r="V16" i="5"/>
  <c r="E30" i="2"/>
  <c r="AF52" i="5"/>
  <c r="M42" i="2" s="1"/>
  <c r="L51" i="5"/>
  <c r="X13" i="5"/>
  <c r="X51" i="5" s="1"/>
  <c r="D63" i="2"/>
  <c r="D67" i="4"/>
  <c r="D36" i="2" s="1"/>
  <c r="D13" i="4"/>
  <c r="O13" i="4" s="1"/>
  <c r="D9" i="4"/>
  <c r="AH10" i="5"/>
  <c r="V52" i="5"/>
  <c r="V55" i="5"/>
  <c r="AH20" i="5"/>
  <c r="F63" i="2"/>
  <c r="F67" i="4"/>
  <c r="F36" i="2" s="1"/>
  <c r="F13" i="4"/>
  <c r="I59" i="2"/>
  <c r="W52" i="5"/>
  <c r="D42" i="2" s="1"/>
  <c r="AH11" i="5"/>
  <c r="E13" i="4"/>
  <c r="E67" i="4"/>
  <c r="E36" i="2" s="1"/>
  <c r="AH38" i="5"/>
  <c r="K30" i="2"/>
  <c r="AG54" i="5"/>
  <c r="N43" i="2" s="1"/>
  <c r="O8" i="4"/>
  <c r="O63" i="2" s="1"/>
  <c r="C53" i="4"/>
  <c r="C34" i="4"/>
  <c r="C42" i="4"/>
  <c r="C55" i="4"/>
  <c r="AH18" i="5"/>
  <c r="AH31" i="5"/>
  <c r="AH35" i="5"/>
  <c r="AH43" i="5"/>
  <c r="G67" i="4"/>
  <c r="G36" i="2" s="1"/>
  <c r="G13" i="4"/>
  <c r="AH39" i="5"/>
  <c r="C12" i="4"/>
  <c r="O68" i="4"/>
  <c r="O35" i="2" s="1"/>
  <c r="AH8" i="5"/>
  <c r="AH17" i="5"/>
  <c r="AH21" i="5"/>
  <c r="AH22" i="5"/>
  <c r="AH28" i="5"/>
  <c r="AH42" i="5"/>
  <c r="K67" i="4"/>
  <c r="K36" i="2" s="1"/>
  <c r="K63" i="2"/>
  <c r="K13" i="4"/>
  <c r="C38" i="4"/>
  <c r="O61" i="4"/>
  <c r="O29" i="2" s="1"/>
  <c r="C64" i="4"/>
  <c r="AH9" i="5"/>
  <c r="J51" i="5"/>
  <c r="J56" i="5" s="1"/>
  <c r="V13" i="5"/>
  <c r="AH23" i="5"/>
  <c r="J59" i="2"/>
  <c r="S54" i="5"/>
  <c r="AE16" i="5"/>
  <c r="AE54" i="5" s="1"/>
  <c r="L43" i="2" s="1"/>
  <c r="L59" i="2" s="1"/>
  <c r="K51" i="5"/>
  <c r="W13" i="5"/>
  <c r="W51" i="5" s="1"/>
  <c r="AH26" i="5"/>
  <c r="AH47" i="5"/>
  <c r="U55" i="5"/>
  <c r="C63" i="2"/>
  <c r="J67" i="4"/>
  <c r="J36" i="2" s="1"/>
  <c r="W54" i="5"/>
  <c r="D43" i="2" s="1"/>
  <c r="D59" i="2" s="1"/>
  <c r="X16" i="5"/>
  <c r="X54" i="5" s="1"/>
  <c r="E43" i="2" s="1"/>
  <c r="E59" i="2" s="1"/>
  <c r="AH44" i="5"/>
  <c r="AE13" i="5"/>
  <c r="AE51" i="5" s="1"/>
  <c r="AH30" i="5"/>
  <c r="AH37" i="5"/>
  <c r="W53" i="5"/>
  <c r="D40" i="2" s="1"/>
  <c r="K53" i="5"/>
  <c r="V53" i="5"/>
  <c r="J53" i="5"/>
  <c r="AG53" i="5"/>
  <c r="N40" i="2" s="1"/>
  <c r="S53" i="5"/>
  <c r="AF53" i="5"/>
  <c r="M40" i="2" s="1"/>
  <c r="M51" i="2" s="1"/>
  <c r="R53" i="5"/>
  <c r="AE53" i="5"/>
  <c r="L40" i="2" s="1"/>
  <c r="Q53" i="5"/>
  <c r="AD53" i="5"/>
  <c r="K40" i="2" s="1"/>
  <c r="K45" i="2" s="1"/>
  <c r="P53" i="5"/>
  <c r="AC53" i="5"/>
  <c r="J40" i="2" s="1"/>
  <c r="O53" i="5"/>
  <c r="AB53" i="5"/>
  <c r="I40" i="2" s="1"/>
  <c r="N53" i="5"/>
  <c r="J13" i="4"/>
  <c r="M67" i="4"/>
  <c r="M36" i="2" s="1"/>
  <c r="AH25" i="5"/>
  <c r="AH46" i="5"/>
  <c r="L53" i="5"/>
  <c r="AH34" i="5"/>
  <c r="Y52" i="5"/>
  <c r="F42" i="2" s="1"/>
  <c r="M52" i="5"/>
  <c r="X52" i="5"/>
  <c r="E42" i="2" s="1"/>
  <c r="L52" i="5"/>
  <c r="AE52" i="5"/>
  <c r="L42" i="2" s="1"/>
  <c r="Q52" i="5"/>
  <c r="AD52" i="5"/>
  <c r="K42" i="2" s="1"/>
  <c r="P52" i="5"/>
  <c r="P56" i="5" s="1"/>
  <c r="I66" i="2" s="1"/>
  <c r="AC52" i="5"/>
  <c r="J42" i="2" s="1"/>
  <c r="O52" i="5"/>
  <c r="AB52" i="5"/>
  <c r="I42" i="2" s="1"/>
  <c r="N52" i="5"/>
  <c r="AA52" i="5"/>
  <c r="H42" i="2" s="1"/>
  <c r="K52" i="5"/>
  <c r="Z52" i="5"/>
  <c r="G42" i="2" s="1"/>
  <c r="J52" i="5"/>
  <c r="M53" i="5"/>
  <c r="AH27" i="5"/>
  <c r="AH41" i="5"/>
  <c r="R52" i="5"/>
  <c r="Q56" i="5"/>
  <c r="J66" i="2" s="1"/>
  <c r="S52" i="5"/>
  <c r="S56" i="5" s="1"/>
  <c r="L66" i="2" s="1"/>
  <c r="U53" i="5"/>
  <c r="N13" i="4"/>
  <c r="O66" i="4"/>
  <c r="O34" i="2" s="1"/>
  <c r="C67" i="4"/>
  <c r="AH24" i="5"/>
  <c r="AH36" i="5"/>
  <c r="R51" i="5"/>
  <c r="T52" i="5"/>
  <c r="T56" i="5" s="1"/>
  <c r="M66" i="2" s="1"/>
  <c r="X53" i="5"/>
  <c r="E40" i="2" s="1"/>
  <c r="X14" i="5"/>
  <c r="AH14" i="5" s="1"/>
  <c r="AD16" i="5"/>
  <c r="AD54" i="5" s="1"/>
  <c r="K43" i="2" s="1"/>
  <c r="K59" i="2" s="1"/>
  <c r="R54" i="5"/>
  <c r="AH45" i="5"/>
  <c r="U52" i="5"/>
  <c r="U56" i="5" s="1"/>
  <c r="N66" i="2" s="1"/>
  <c r="Y53" i="5"/>
  <c r="F40" i="2" s="1"/>
  <c r="F45" i="2" s="1"/>
  <c r="AH29" i="5"/>
  <c r="O54" i="5"/>
  <c r="AA51" i="5"/>
  <c r="O51" i="5"/>
  <c r="Z51" i="5"/>
  <c r="N51" i="5"/>
  <c r="N56" i="5" s="1"/>
  <c r="G66" i="2" s="1"/>
  <c r="AE55" i="5"/>
  <c r="L44" i="2" s="1"/>
  <c r="S55" i="5"/>
  <c r="AD55" i="5"/>
  <c r="K44" i="2" s="1"/>
  <c r="R55" i="5"/>
  <c r="W55" i="5"/>
  <c r="D44" i="2" s="1"/>
  <c r="M51" i="5"/>
  <c r="M56" i="5" s="1"/>
  <c r="F66" i="2" s="1"/>
  <c r="AC51" i="5"/>
  <c r="J55" i="5"/>
  <c r="K55" i="5"/>
  <c r="Y55" i="5"/>
  <c r="F44" i="2" s="1"/>
  <c r="T54" i="5"/>
  <c r="AF54" i="5"/>
  <c r="M43" i="2" s="1"/>
  <c r="M59" i="2" s="1"/>
  <c r="U54" i="5"/>
  <c r="W56" i="5" l="1"/>
  <c r="D41" i="2"/>
  <c r="O56" i="5"/>
  <c r="H66" i="2" s="1"/>
  <c r="R56" i="5"/>
  <c r="K66" i="2" s="1"/>
  <c r="I45" i="2"/>
  <c r="AH53" i="5"/>
  <c r="C40" i="2"/>
  <c r="Y56" i="5"/>
  <c r="AD56" i="5"/>
  <c r="O30" i="2"/>
  <c r="D45" i="2"/>
  <c r="X55" i="5"/>
  <c r="E44" i="2" s="1"/>
  <c r="AA56" i="5"/>
  <c r="H41" i="2"/>
  <c r="C64" i="2"/>
  <c r="C65" i="4"/>
  <c r="C56" i="4"/>
  <c r="C30" i="2"/>
  <c r="AC56" i="5"/>
  <c r="J41" i="2"/>
  <c r="O67" i="4"/>
  <c r="O36" i="2" s="1"/>
  <c r="C36" i="2"/>
  <c r="C39" i="4"/>
  <c r="C54" i="4"/>
  <c r="X56" i="5"/>
  <c r="E41" i="2"/>
  <c r="E51" i="2" s="1"/>
  <c r="AE56" i="5"/>
  <c r="L41" i="2"/>
  <c r="I51" i="2"/>
  <c r="L56" i="5"/>
  <c r="E66" i="2" s="1"/>
  <c r="K51" i="2"/>
  <c r="C43" i="4"/>
  <c r="C44" i="4"/>
  <c r="C45" i="4"/>
  <c r="K56" i="5"/>
  <c r="D66" i="2" s="1"/>
  <c r="C35" i="4"/>
  <c r="AF56" i="5"/>
  <c r="L45" i="2"/>
  <c r="AH55" i="5"/>
  <c r="C44" i="2"/>
  <c r="J45" i="2"/>
  <c r="C14" i="4"/>
  <c r="AB56" i="5"/>
  <c r="AH52" i="5"/>
  <c r="C42" i="2"/>
  <c r="O42" i="2" s="1"/>
  <c r="M45" i="2"/>
  <c r="V51" i="5"/>
  <c r="AH13" i="5"/>
  <c r="L51" i="2"/>
  <c r="D51" i="2"/>
  <c r="C66" i="2"/>
  <c r="N45" i="2"/>
  <c r="AG56" i="5"/>
  <c r="V54" i="5"/>
  <c r="AH16" i="5"/>
  <c r="N51" i="2"/>
  <c r="F51" i="2"/>
  <c r="Z56" i="5"/>
  <c r="G41" i="2"/>
  <c r="J51" i="2"/>
  <c r="D53" i="4"/>
  <c r="D54" i="4" s="1"/>
  <c r="D23" i="2" s="1"/>
  <c r="D34" i="4"/>
  <c r="D35" i="4" s="1"/>
  <c r="D42" i="4"/>
  <c r="D55" i="4"/>
  <c r="D56" i="4" s="1"/>
  <c r="D24" i="2" s="1"/>
  <c r="D64" i="4"/>
  <c r="D38" i="4"/>
  <c r="D39" i="4" s="1"/>
  <c r="D15" i="2" s="1"/>
  <c r="D12" i="4"/>
  <c r="D14" i="4" s="1"/>
  <c r="E9" i="4"/>
  <c r="G45" i="2" l="1"/>
  <c r="G51" i="2"/>
  <c r="C36" i="4"/>
  <c r="C37" i="4"/>
  <c r="C24" i="2"/>
  <c r="C45" i="2"/>
  <c r="O40" i="2"/>
  <c r="V56" i="5"/>
  <c r="AH56" i="5" s="1"/>
  <c r="AH58" i="5" s="1"/>
  <c r="AH51" i="5"/>
  <c r="C41" i="2"/>
  <c r="C33" i="2"/>
  <c r="C37" i="2" s="1"/>
  <c r="D65" i="4"/>
  <c r="D33" i="2" s="1"/>
  <c r="D37" i="2" s="1"/>
  <c r="D64" i="2"/>
  <c r="C23" i="2"/>
  <c r="D43" i="4"/>
  <c r="D44" i="4"/>
  <c r="D45" i="4"/>
  <c r="E45" i="2"/>
  <c r="C15" i="4"/>
  <c r="C65" i="2"/>
  <c r="C16" i="4"/>
  <c r="C15" i="2"/>
  <c r="H45" i="2"/>
  <c r="H51" i="2"/>
  <c r="E64" i="4"/>
  <c r="E34" i="4"/>
  <c r="E42" i="4"/>
  <c r="E55" i="4"/>
  <c r="E38" i="4"/>
  <c r="E39" i="4" s="1"/>
  <c r="E15" i="2" s="1"/>
  <c r="E12" i="4"/>
  <c r="E14" i="4" s="1"/>
  <c r="F9" i="4"/>
  <c r="E53" i="4"/>
  <c r="E54" i="4" s="1"/>
  <c r="E23" i="2" s="1"/>
  <c r="D65" i="2"/>
  <c r="D15" i="4"/>
  <c r="D16" i="4"/>
  <c r="AH54" i="5"/>
  <c r="C43" i="2"/>
  <c r="D36" i="4"/>
  <c r="D13" i="2" s="1"/>
  <c r="D16" i="2" s="1"/>
  <c r="D37" i="4"/>
  <c r="D14" i="2" s="1"/>
  <c r="C50" i="4"/>
  <c r="C49" i="4"/>
  <c r="C46" i="4"/>
  <c r="C47" i="4" s="1"/>
  <c r="O66" i="2"/>
  <c r="O44" i="2"/>
  <c r="C48" i="4" l="1"/>
  <c r="O41" i="2"/>
  <c r="C51" i="2"/>
  <c r="D23" i="4"/>
  <c r="D19" i="4"/>
  <c r="D6" i="2" s="1"/>
  <c r="E65" i="2"/>
  <c r="E15" i="4"/>
  <c r="E16" i="4"/>
  <c r="D20" i="4"/>
  <c r="D7" i="2" s="1"/>
  <c r="D24" i="4"/>
  <c r="D27" i="4" s="1"/>
  <c r="C20" i="2"/>
  <c r="C23" i="4"/>
  <c r="C19" i="4"/>
  <c r="C19" i="2"/>
  <c r="E56" i="4"/>
  <c r="C14" i="2"/>
  <c r="E43" i="4"/>
  <c r="E44" i="4"/>
  <c r="E45" i="4"/>
  <c r="O51" i="2"/>
  <c r="F55" i="4"/>
  <c r="F56" i="4" s="1"/>
  <c r="F24" i="2" s="1"/>
  <c r="F64" i="4"/>
  <c r="F38" i="4"/>
  <c r="G9" i="4"/>
  <c r="F53" i="4"/>
  <c r="F54" i="4" s="1"/>
  <c r="F23" i="2" s="1"/>
  <c r="F12" i="4"/>
  <c r="F14" i="4" s="1"/>
  <c r="F34" i="4"/>
  <c r="F35" i="4" s="1"/>
  <c r="F42" i="4"/>
  <c r="E35" i="4"/>
  <c r="C13" i="2"/>
  <c r="C16" i="2" s="1"/>
  <c r="O43" i="2"/>
  <c r="O59" i="2" s="1"/>
  <c r="C59" i="2"/>
  <c r="E64" i="2"/>
  <c r="E65" i="4"/>
  <c r="E33" i="2" s="1"/>
  <c r="E37" i="2" s="1"/>
  <c r="C20" i="4"/>
  <c r="C24" i="4"/>
  <c r="D49" i="4"/>
  <c r="D19" i="2" s="1"/>
  <c r="D50" i="4"/>
  <c r="D20" i="2" s="1"/>
  <c r="D46" i="4"/>
  <c r="D47" i="4" s="1"/>
  <c r="D48" i="4" l="1"/>
  <c r="O45" i="2"/>
  <c r="C6" i="2"/>
  <c r="D26" i="4"/>
  <c r="D25" i="4"/>
  <c r="D29" i="4"/>
  <c r="D30" i="4" s="1"/>
  <c r="D9" i="2" s="1"/>
  <c r="G55" i="4"/>
  <c r="G64" i="4"/>
  <c r="G38" i="4"/>
  <c r="G39" i="4" s="1"/>
  <c r="G15" i="2" s="1"/>
  <c r="H9" i="4"/>
  <c r="G12" i="4"/>
  <c r="G34" i="4"/>
  <c r="G42" i="4"/>
  <c r="G53" i="4"/>
  <c r="G54" i="4" s="1"/>
  <c r="G23" i="2" s="1"/>
  <c r="F39" i="4"/>
  <c r="C25" i="4"/>
  <c r="C26" i="4"/>
  <c r="C29" i="4"/>
  <c r="E24" i="4"/>
  <c r="E27" i="4" s="1"/>
  <c r="E20" i="4"/>
  <c r="E7" i="2" s="1"/>
  <c r="F64" i="2"/>
  <c r="F65" i="4"/>
  <c r="F33" i="2" s="1"/>
  <c r="F37" i="2" s="1"/>
  <c r="C7" i="2"/>
  <c r="E24" i="2"/>
  <c r="E19" i="4"/>
  <c r="E6" i="2" s="1"/>
  <c r="E23" i="4"/>
  <c r="C27" i="4"/>
  <c r="E36" i="4"/>
  <c r="E37" i="4"/>
  <c r="E47" i="4"/>
  <c r="E48" i="4" s="1"/>
  <c r="F43" i="4"/>
  <c r="F44" i="4"/>
  <c r="F45" i="4"/>
  <c r="E49" i="4"/>
  <c r="E50" i="4"/>
  <c r="E20" i="2" s="1"/>
  <c r="E46" i="4"/>
  <c r="F36" i="4"/>
  <c r="F13" i="2" s="1"/>
  <c r="F37" i="4"/>
  <c r="F14" i="2" s="1"/>
  <c r="F16" i="4"/>
  <c r="F65" i="2"/>
  <c r="F15" i="4"/>
  <c r="C51" i="4"/>
  <c r="C52" i="4"/>
  <c r="F15" i="2" l="1"/>
  <c r="E19" i="2"/>
  <c r="F19" i="4"/>
  <c r="F23" i="4"/>
  <c r="F24" i="4"/>
  <c r="F20" i="4"/>
  <c r="F7" i="2" s="1"/>
  <c r="G14" i="4"/>
  <c r="C21" i="2"/>
  <c r="G43" i="4"/>
  <c r="G44" i="4"/>
  <c r="G45" i="4"/>
  <c r="C22" i="2"/>
  <c r="F16" i="2"/>
  <c r="E14" i="2"/>
  <c r="C28" i="4"/>
  <c r="G64" i="2"/>
  <c r="G65" i="4"/>
  <c r="G33" i="2" s="1"/>
  <c r="G37" i="2" s="1"/>
  <c r="E25" i="4"/>
  <c r="E26" i="4"/>
  <c r="E29" i="4"/>
  <c r="E30" i="4" s="1"/>
  <c r="E9" i="2" s="1"/>
  <c r="F49" i="4"/>
  <c r="F19" i="2" s="1"/>
  <c r="F50" i="4"/>
  <c r="F20" i="2" s="1"/>
  <c r="F46" i="4"/>
  <c r="F47" i="4" s="1"/>
  <c r="G35" i="4"/>
  <c r="H64" i="4"/>
  <c r="H42" i="4"/>
  <c r="H38" i="4"/>
  <c r="H34" i="4"/>
  <c r="H35" i="4" s="1"/>
  <c r="H55" i="4"/>
  <c r="H56" i="4" s="1"/>
  <c r="H24" i="2" s="1"/>
  <c r="I9" i="4"/>
  <c r="H12" i="4"/>
  <c r="H14" i="4" s="1"/>
  <c r="H53" i="4"/>
  <c r="H54" i="4" s="1"/>
  <c r="H23" i="2" s="1"/>
  <c r="E13" i="2"/>
  <c r="E16" i="2" s="1"/>
  <c r="G56" i="4"/>
  <c r="D52" i="4"/>
  <c r="D22" i="2" s="1"/>
  <c r="D51" i="4"/>
  <c r="D21" i="2" s="1"/>
  <c r="E51" i="4"/>
  <c r="E21" i="2" s="1"/>
  <c r="E52" i="4"/>
  <c r="E22" i="2" s="1"/>
  <c r="C30" i="4"/>
  <c r="D28" i="4"/>
  <c r="F48" i="4" l="1"/>
  <c r="F25" i="4"/>
  <c r="F26" i="4"/>
  <c r="F29" i="4"/>
  <c r="F30" i="4" s="1"/>
  <c r="F9" i="2" s="1"/>
  <c r="G36" i="4"/>
  <c r="G37" i="4"/>
  <c r="G46" i="4"/>
  <c r="G47" i="4" s="1"/>
  <c r="G49" i="4"/>
  <c r="G19" i="2" s="1"/>
  <c r="G50" i="4"/>
  <c r="F6" i="2"/>
  <c r="C56" i="2"/>
  <c r="C71" i="2" s="1"/>
  <c r="C25" i="2"/>
  <c r="C9" i="2"/>
  <c r="E25" i="2"/>
  <c r="E56" i="2"/>
  <c r="E71" i="2" s="1"/>
  <c r="H65" i="4"/>
  <c r="H33" i="2" s="1"/>
  <c r="H37" i="2" s="1"/>
  <c r="H64" i="2"/>
  <c r="G15" i="4"/>
  <c r="G16" i="4"/>
  <c r="G65" i="2"/>
  <c r="H65" i="2"/>
  <c r="H16" i="4"/>
  <c r="H15" i="4"/>
  <c r="I55" i="4"/>
  <c r="I53" i="4"/>
  <c r="I54" i="4" s="1"/>
  <c r="I23" i="2" s="1"/>
  <c r="I64" i="4"/>
  <c r="I38" i="4"/>
  <c r="I39" i="4" s="1"/>
  <c r="I15" i="2" s="1"/>
  <c r="I12" i="4"/>
  <c r="I14" i="4" s="1"/>
  <c r="I34" i="4"/>
  <c r="I42" i="4"/>
  <c r="J9" i="4"/>
  <c r="D56" i="2"/>
  <c r="D71" i="2" s="1"/>
  <c r="D25" i="2"/>
  <c r="E28" i="4"/>
  <c r="F27" i="4"/>
  <c r="C8" i="2"/>
  <c r="C31" i="4"/>
  <c r="H37" i="4"/>
  <c r="H14" i="2" s="1"/>
  <c r="H36" i="4"/>
  <c r="H13" i="2" s="1"/>
  <c r="D8" i="2"/>
  <c r="D31" i="4"/>
  <c r="H39" i="4"/>
  <c r="G24" i="2"/>
  <c r="H45" i="4"/>
  <c r="H44" i="4"/>
  <c r="H43" i="4"/>
  <c r="G48" i="4" l="1"/>
  <c r="I65" i="2"/>
  <c r="I16" i="4"/>
  <c r="I15" i="4"/>
  <c r="G14" i="2"/>
  <c r="G13" i="2"/>
  <c r="H49" i="4"/>
  <c r="H19" i="2" s="1"/>
  <c r="H50" i="4"/>
  <c r="H20" i="2" s="1"/>
  <c r="H46" i="4"/>
  <c r="C10" i="2"/>
  <c r="C47" i="2" s="1"/>
  <c r="C58" i="2"/>
  <c r="C72" i="2" s="1"/>
  <c r="C50" i="2"/>
  <c r="C55" i="2"/>
  <c r="I64" i="2"/>
  <c r="I65" i="4"/>
  <c r="I33" i="2" s="1"/>
  <c r="I37" i="2" s="1"/>
  <c r="I35" i="4"/>
  <c r="F28" i="4"/>
  <c r="I56" i="4"/>
  <c r="H19" i="4"/>
  <c r="H6" i="2" s="1"/>
  <c r="H23" i="4"/>
  <c r="J55" i="4"/>
  <c r="J56" i="4" s="1"/>
  <c r="J24" i="2" s="1"/>
  <c r="J12" i="4"/>
  <c r="J14" i="4" s="1"/>
  <c r="K9" i="4"/>
  <c r="J64" i="4"/>
  <c r="J38" i="4"/>
  <c r="J53" i="4"/>
  <c r="J54" i="4" s="1"/>
  <c r="J23" i="2" s="1"/>
  <c r="J34" i="4"/>
  <c r="J35" i="4" s="1"/>
  <c r="J42" i="4"/>
  <c r="E8" i="2"/>
  <c r="E31" i="4"/>
  <c r="H20" i="4"/>
  <c r="H7" i="2" s="1"/>
  <c r="H24" i="4"/>
  <c r="H27" i="4" s="1"/>
  <c r="I44" i="4"/>
  <c r="I45" i="4"/>
  <c r="I43" i="4"/>
  <c r="D50" i="2"/>
  <c r="D58" i="2"/>
  <c r="D72" i="2" s="1"/>
  <c r="D55" i="2"/>
  <c r="D10" i="2"/>
  <c r="D47" i="2" s="1"/>
  <c r="G24" i="4"/>
  <c r="G20" i="4"/>
  <c r="G23" i="4"/>
  <c r="G19" i="4"/>
  <c r="H47" i="4"/>
  <c r="H48" i="4" s="1"/>
  <c r="H15" i="2"/>
  <c r="H16" i="2" s="1"/>
  <c r="G20" i="2"/>
  <c r="F51" i="4"/>
  <c r="F52" i="4"/>
  <c r="E50" i="2" l="1"/>
  <c r="E55" i="2"/>
  <c r="E10" i="2"/>
  <c r="E47" i="2" s="1"/>
  <c r="E58" i="2"/>
  <c r="E72" i="2" s="1"/>
  <c r="J36" i="4"/>
  <c r="J13" i="2" s="1"/>
  <c r="J37" i="4"/>
  <c r="J14" i="2" s="1"/>
  <c r="I24" i="2"/>
  <c r="C52" i="2"/>
  <c r="H51" i="4"/>
  <c r="H21" i="2" s="1"/>
  <c r="H52" i="4"/>
  <c r="H22" i="2" s="1"/>
  <c r="D52" i="2"/>
  <c r="J39" i="4"/>
  <c r="F31" i="4"/>
  <c r="F8" i="2"/>
  <c r="G27" i="4"/>
  <c r="H25" i="4"/>
  <c r="H26" i="4"/>
  <c r="H29" i="4"/>
  <c r="H30" i="4" s="1"/>
  <c r="H9" i="2" s="1"/>
  <c r="C57" i="2"/>
  <c r="C69" i="2" s="1"/>
  <c r="C70" i="2"/>
  <c r="I19" i="4"/>
  <c r="I6" i="2" s="1"/>
  <c r="I23" i="4"/>
  <c r="G6" i="2"/>
  <c r="G16" i="2"/>
  <c r="G51" i="4"/>
  <c r="G21" i="2" s="1"/>
  <c r="G56" i="2" s="1"/>
  <c r="G71" i="2" s="1"/>
  <c r="G52" i="4"/>
  <c r="G22" i="2" s="1"/>
  <c r="D70" i="2"/>
  <c r="D57" i="2"/>
  <c r="D69" i="2" s="1"/>
  <c r="J43" i="4"/>
  <c r="J44" i="4"/>
  <c r="J45" i="4"/>
  <c r="I20" i="4"/>
  <c r="I7" i="2" s="1"/>
  <c r="I24" i="4"/>
  <c r="I27" i="4" s="1"/>
  <c r="J64" i="2"/>
  <c r="J65" i="4"/>
  <c r="J33" i="2" s="1"/>
  <c r="J37" i="2" s="1"/>
  <c r="H25" i="2"/>
  <c r="H56" i="2"/>
  <c r="H71" i="2" s="1"/>
  <c r="G25" i="4"/>
  <c r="G26" i="4"/>
  <c r="G29" i="4"/>
  <c r="I50" i="4"/>
  <c r="I49" i="4"/>
  <c r="I19" i="2" s="1"/>
  <c r="I46" i="4"/>
  <c r="K42" i="4"/>
  <c r="K64" i="4"/>
  <c r="K38" i="4"/>
  <c r="K39" i="4" s="1"/>
  <c r="K15" i="2" s="1"/>
  <c r="L9" i="4"/>
  <c r="K12" i="4"/>
  <c r="K14" i="4" s="1"/>
  <c r="K53" i="4"/>
  <c r="K54" i="4" s="1"/>
  <c r="K23" i="2" s="1"/>
  <c r="K34" i="4"/>
  <c r="K35" i="4" s="1"/>
  <c r="K55" i="4"/>
  <c r="F22" i="2"/>
  <c r="J65" i="2"/>
  <c r="J16" i="4"/>
  <c r="J15" i="4"/>
  <c r="I36" i="4"/>
  <c r="I37" i="4"/>
  <c r="F21" i="2"/>
  <c r="G7" i="2"/>
  <c r="I47" i="4"/>
  <c r="I48" i="4" s="1"/>
  <c r="F58" i="2" l="1"/>
  <c r="F72" i="2" s="1"/>
  <c r="F10" i="2"/>
  <c r="F55" i="2"/>
  <c r="F50" i="2"/>
  <c r="I52" i="4"/>
  <c r="I51" i="4"/>
  <c r="I20" i="2"/>
  <c r="I29" i="4"/>
  <c r="I30" i="4" s="1"/>
  <c r="I9" i="2" s="1"/>
  <c r="I26" i="4"/>
  <c r="I25" i="4"/>
  <c r="I28" i="4" s="1"/>
  <c r="C60" i="2"/>
  <c r="K56" i="4"/>
  <c r="J15" i="2"/>
  <c r="J16" i="2"/>
  <c r="K37" i="4"/>
  <c r="K14" i="2" s="1"/>
  <c r="K36" i="4"/>
  <c r="K13" i="2" s="1"/>
  <c r="K16" i="2" s="1"/>
  <c r="H28" i="4"/>
  <c r="E60" i="2"/>
  <c r="E52" i="2"/>
  <c r="F56" i="2"/>
  <c r="F71" i="2" s="1"/>
  <c r="F25" i="2"/>
  <c r="G28" i="4"/>
  <c r="E70" i="2"/>
  <c r="E57" i="2"/>
  <c r="E69" i="2" s="1"/>
  <c r="K64" i="2"/>
  <c r="K65" i="4"/>
  <c r="K33" i="2" s="1"/>
  <c r="K37" i="2" s="1"/>
  <c r="G30" i="4"/>
  <c r="J50" i="4"/>
  <c r="J20" i="2" s="1"/>
  <c r="J46" i="4"/>
  <c r="J47" i="4" s="1"/>
  <c r="J48" i="4" s="1"/>
  <c r="J49" i="4"/>
  <c r="J19" i="2" s="1"/>
  <c r="K65" i="2"/>
  <c r="K16" i="4"/>
  <c r="K15" i="4"/>
  <c r="I14" i="2"/>
  <c r="J19" i="4"/>
  <c r="J6" i="2" s="1"/>
  <c r="J23" i="4"/>
  <c r="D60" i="2"/>
  <c r="J20" i="4"/>
  <c r="J24" i="4"/>
  <c r="J27" i="4" s="1"/>
  <c r="K44" i="4"/>
  <c r="K45" i="4"/>
  <c r="K43" i="4"/>
  <c r="G25" i="2"/>
  <c r="L53" i="4"/>
  <c r="L54" i="4" s="1"/>
  <c r="L23" i="2" s="1"/>
  <c r="L64" i="4"/>
  <c r="L38" i="4"/>
  <c r="L39" i="4" s="1"/>
  <c r="L15" i="2" s="1"/>
  <c r="L34" i="4"/>
  <c r="L35" i="4" s="1"/>
  <c r="M9" i="4"/>
  <c r="L12" i="4"/>
  <c r="L14" i="4" s="1"/>
  <c r="L42" i="4"/>
  <c r="L55" i="4"/>
  <c r="L56" i="4" s="1"/>
  <c r="L24" i="2" s="1"/>
  <c r="I13" i="2"/>
  <c r="J51" i="4" l="1"/>
  <c r="J21" i="2" s="1"/>
  <c r="J52" i="4"/>
  <c r="J22" i="2" s="1"/>
  <c r="L65" i="4"/>
  <c r="L33" i="2" s="1"/>
  <c r="L37" i="2" s="1"/>
  <c r="L64" i="2"/>
  <c r="K24" i="2"/>
  <c r="F70" i="2"/>
  <c r="F57" i="2"/>
  <c r="F69" i="2" s="1"/>
  <c r="K50" i="4"/>
  <c r="K20" i="2" s="1"/>
  <c r="K46" i="4"/>
  <c r="K47" i="4" s="1"/>
  <c r="K48" i="4" s="1"/>
  <c r="K49" i="4"/>
  <c r="K19" i="2" s="1"/>
  <c r="F47" i="2"/>
  <c r="I31" i="4"/>
  <c r="I8" i="2"/>
  <c r="L37" i="4"/>
  <c r="L36" i="4"/>
  <c r="G9" i="2"/>
  <c r="I16" i="2"/>
  <c r="K19" i="4"/>
  <c r="K6" i="2" s="1"/>
  <c r="K23" i="4"/>
  <c r="K20" i="4"/>
  <c r="K7" i="2" s="1"/>
  <c r="K24" i="4"/>
  <c r="L45" i="4"/>
  <c r="L43" i="4"/>
  <c r="L44" i="4"/>
  <c r="J7" i="2"/>
  <c r="G31" i="4"/>
  <c r="G8" i="2"/>
  <c r="J29" i="4"/>
  <c r="J25" i="4"/>
  <c r="J28" i="4" s="1"/>
  <c r="J26" i="4"/>
  <c r="H31" i="4"/>
  <c r="H8" i="2"/>
  <c r="L16" i="4"/>
  <c r="L15" i="4"/>
  <c r="L65" i="2"/>
  <c r="I22" i="2"/>
  <c r="M38" i="4"/>
  <c r="M39" i="4" s="1"/>
  <c r="M15" i="2" s="1"/>
  <c r="M42" i="4"/>
  <c r="N9" i="4"/>
  <c r="M64" i="4"/>
  <c r="M12" i="4"/>
  <c r="M14" i="4" s="1"/>
  <c r="M53" i="4"/>
  <c r="M54" i="4" s="1"/>
  <c r="M23" i="2" s="1"/>
  <c r="M34" i="4"/>
  <c r="M35" i="4" s="1"/>
  <c r="M55" i="4"/>
  <c r="M56" i="4" s="1"/>
  <c r="M24" i="2" s="1"/>
  <c r="J56" i="2"/>
  <c r="J71" i="2" s="1"/>
  <c r="J25" i="2"/>
  <c r="I21" i="2"/>
  <c r="K51" i="4" l="1"/>
  <c r="K52" i="4"/>
  <c r="L13" i="2"/>
  <c r="L20" i="4"/>
  <c r="L7" i="2" s="1"/>
  <c r="L24" i="4"/>
  <c r="L27" i="4" s="1"/>
  <c r="L47" i="4"/>
  <c r="L48" i="4" s="1"/>
  <c r="I58" i="2"/>
  <c r="I72" i="2" s="1"/>
  <c r="I55" i="2"/>
  <c r="I50" i="2"/>
  <c r="I10" i="2"/>
  <c r="M16" i="4"/>
  <c r="M15" i="4"/>
  <c r="M65" i="2"/>
  <c r="L46" i="4"/>
  <c r="L50" i="4"/>
  <c r="L20" i="2" s="1"/>
  <c r="L49" i="4"/>
  <c r="L19" i="2" s="1"/>
  <c r="M65" i="4"/>
  <c r="M33" i="2" s="1"/>
  <c r="M37" i="2" s="1"/>
  <c r="M64" i="2"/>
  <c r="K27" i="4"/>
  <c r="F60" i="2"/>
  <c r="F52" i="2"/>
  <c r="J8" i="2"/>
  <c r="M45" i="4"/>
  <c r="M44" i="4"/>
  <c r="M43" i="4"/>
  <c r="K29" i="4"/>
  <c r="K30" i="4" s="1"/>
  <c r="K9" i="2" s="1"/>
  <c r="K25" i="4"/>
  <c r="K26" i="4"/>
  <c r="L19" i="4"/>
  <c r="L6" i="2" s="1"/>
  <c r="L23" i="4"/>
  <c r="H50" i="2"/>
  <c r="H55" i="2"/>
  <c r="H10" i="2"/>
  <c r="H47" i="2" s="1"/>
  <c r="H58" i="2"/>
  <c r="H72" i="2" s="1"/>
  <c r="L14" i="2"/>
  <c r="G55" i="2"/>
  <c r="G50" i="2"/>
  <c r="G58" i="2"/>
  <c r="G72" i="2" s="1"/>
  <c r="G10" i="2"/>
  <c r="G47" i="2" s="1"/>
  <c r="M37" i="4"/>
  <c r="M14" i="2" s="1"/>
  <c r="M36" i="4"/>
  <c r="M13" i="2" s="1"/>
  <c r="M16" i="2" s="1"/>
  <c r="J30" i="4"/>
  <c r="I25" i="2"/>
  <c r="I56" i="2"/>
  <c r="I71" i="2" s="1"/>
  <c r="N55" i="4"/>
  <c r="N53" i="4"/>
  <c r="O9" i="4"/>
  <c r="N64" i="4"/>
  <c r="N12" i="4"/>
  <c r="N38" i="4"/>
  <c r="N34" i="4"/>
  <c r="N42" i="4"/>
  <c r="M50" i="4" l="1"/>
  <c r="M20" i="2" s="1"/>
  <c r="M49" i="4"/>
  <c r="M19" i="2" s="1"/>
  <c r="M46" i="4"/>
  <c r="M47" i="4" s="1"/>
  <c r="M48" i="4" s="1"/>
  <c r="K28" i="4"/>
  <c r="J9" i="2"/>
  <c r="N45" i="4"/>
  <c r="O45" i="4" s="1"/>
  <c r="N43" i="4"/>
  <c r="N44" i="4"/>
  <c r="O42" i="4"/>
  <c r="H52" i="2"/>
  <c r="I70" i="2"/>
  <c r="I57" i="2"/>
  <c r="I69" i="2" s="1"/>
  <c r="N39" i="4"/>
  <c r="O38" i="4"/>
  <c r="G52" i="2"/>
  <c r="H70" i="2"/>
  <c r="H57" i="2"/>
  <c r="H69" i="2" s="1"/>
  <c r="L16" i="2"/>
  <c r="N35" i="4"/>
  <c r="O34" i="4"/>
  <c r="J31" i="4"/>
  <c r="L51" i="4"/>
  <c r="L21" i="2" s="1"/>
  <c r="L56" i="2" s="1"/>
  <c r="L71" i="2" s="1"/>
  <c r="L52" i="4"/>
  <c r="L22" i="2" s="1"/>
  <c r="N14" i="4"/>
  <c r="O12" i="4"/>
  <c r="O64" i="4"/>
  <c r="N65" i="4"/>
  <c r="N64" i="2"/>
  <c r="O64" i="2"/>
  <c r="L26" i="4"/>
  <c r="L29" i="4"/>
  <c r="L30" i="4" s="1"/>
  <c r="L9" i="2" s="1"/>
  <c r="L25" i="4"/>
  <c r="L28" i="4" s="1"/>
  <c r="M19" i="4"/>
  <c r="M6" i="2" s="1"/>
  <c r="M23" i="4"/>
  <c r="N54" i="4"/>
  <c r="O53" i="4"/>
  <c r="N56" i="4"/>
  <c r="O55" i="4"/>
  <c r="G57" i="2"/>
  <c r="G69" i="2" s="1"/>
  <c r="G70" i="2"/>
  <c r="M20" i="4"/>
  <c r="M7" i="2" s="1"/>
  <c r="M24" i="4"/>
  <c r="M27" i="4" s="1"/>
  <c r="K22" i="2"/>
  <c r="I47" i="2"/>
  <c r="K21" i="2"/>
  <c r="M52" i="4" l="1"/>
  <c r="M22" i="2" s="1"/>
  <c r="M25" i="2" s="1"/>
  <c r="M51" i="4"/>
  <c r="M21" i="2" s="1"/>
  <c r="N24" i="2"/>
  <c r="O56" i="4"/>
  <c r="O24" i="2" s="1"/>
  <c r="K31" i="4"/>
  <c r="K8" i="2"/>
  <c r="I60" i="2"/>
  <c r="I52" i="2"/>
  <c r="N65" i="2"/>
  <c r="N16" i="4"/>
  <c r="N15" i="4"/>
  <c r="O14" i="4"/>
  <c r="O65" i="2" s="1"/>
  <c r="N15" i="2"/>
  <c r="O39" i="4"/>
  <c r="O15" i="2" s="1"/>
  <c r="N46" i="4"/>
  <c r="O46" i="4" s="1"/>
  <c r="N50" i="4"/>
  <c r="N49" i="4"/>
  <c r="O43" i="4"/>
  <c r="J58" i="2"/>
  <c r="J72" i="2" s="1"/>
  <c r="J50" i="2"/>
  <c r="J55" i="2"/>
  <c r="N23" i="2"/>
  <c r="O54" i="4"/>
  <c r="O23" i="2" s="1"/>
  <c r="M56" i="2"/>
  <c r="M71" i="2" s="1"/>
  <c r="N33" i="2"/>
  <c r="N37" i="2" s="1"/>
  <c r="O65" i="4"/>
  <c r="O33" i="2" s="1"/>
  <c r="O37" i="2" s="1"/>
  <c r="K25" i="2"/>
  <c r="K56" i="2"/>
  <c r="K71" i="2" s="1"/>
  <c r="L25" i="2"/>
  <c r="G60" i="2"/>
  <c r="L31" i="4"/>
  <c r="L8" i="2"/>
  <c r="H60" i="2"/>
  <c r="N37" i="4"/>
  <c r="N36" i="4"/>
  <c r="O35" i="4"/>
  <c r="M29" i="4"/>
  <c r="M30" i="4" s="1"/>
  <c r="M25" i="4"/>
  <c r="M26" i="4"/>
  <c r="N47" i="4"/>
  <c r="O44" i="4"/>
  <c r="J10" i="2"/>
  <c r="J47" i="2" s="1"/>
  <c r="N19" i="4" l="1"/>
  <c r="N23" i="4"/>
  <c r="O15" i="4"/>
  <c r="N24" i="4"/>
  <c r="N20" i="4"/>
  <c r="O16" i="4"/>
  <c r="M28" i="4"/>
  <c r="N19" i="2"/>
  <c r="O49" i="4"/>
  <c r="O19" i="2" s="1"/>
  <c r="K10" i="2"/>
  <c r="K47" i="2" s="1"/>
  <c r="K55" i="2"/>
  <c r="K50" i="2"/>
  <c r="K58" i="2"/>
  <c r="K72" i="2" s="1"/>
  <c r="M9" i="2"/>
  <c r="N20" i="2"/>
  <c r="O50" i="4"/>
  <c r="O20" i="2" s="1"/>
  <c r="J52" i="2"/>
  <c r="J70" i="2"/>
  <c r="J57" i="2"/>
  <c r="J69" i="2" s="1"/>
  <c r="N13" i="2"/>
  <c r="O36" i="4"/>
  <c r="O13" i="2" s="1"/>
  <c r="O16" i="2" s="1"/>
  <c r="N14" i="2"/>
  <c r="O37" i="4"/>
  <c r="O14" i="2" s="1"/>
  <c r="N48" i="4"/>
  <c r="O47" i="4"/>
  <c r="L58" i="2"/>
  <c r="L72" i="2" s="1"/>
  <c r="L50" i="2"/>
  <c r="L10" i="2"/>
  <c r="L47" i="2" s="1"/>
  <c r="L55" i="2"/>
  <c r="K70" i="2" l="1"/>
  <c r="K57" i="2"/>
  <c r="K69" i="2" s="1"/>
  <c r="N16" i="2"/>
  <c r="L70" i="2"/>
  <c r="L57" i="2"/>
  <c r="L69" i="2" s="1"/>
  <c r="M31" i="4"/>
  <c r="M8" i="2"/>
  <c r="K60" i="2"/>
  <c r="K52" i="2"/>
  <c r="L52" i="2"/>
  <c r="J60" i="2"/>
  <c r="N27" i="4"/>
  <c r="O27" i="4" s="1"/>
  <c r="O24" i="4"/>
  <c r="N7" i="2"/>
  <c r="O20" i="4"/>
  <c r="O7" i="2" s="1"/>
  <c r="N51" i="4"/>
  <c r="N52" i="4"/>
  <c r="O48" i="4"/>
  <c r="N29" i="4"/>
  <c r="N25" i="4"/>
  <c r="N26" i="4"/>
  <c r="O26" i="4" s="1"/>
  <c r="O23" i="4"/>
  <c r="N6" i="2"/>
  <c r="O19" i="4"/>
  <c r="O6" i="2" s="1"/>
  <c r="N22" i="2" l="1"/>
  <c r="O52" i="4"/>
  <c r="O22" i="2" s="1"/>
  <c r="M55" i="2"/>
  <c r="M10" i="2"/>
  <c r="M47" i="2" s="1"/>
  <c r="M50" i="2"/>
  <c r="M58" i="2"/>
  <c r="M72" i="2" s="1"/>
  <c r="N21" i="2"/>
  <c r="O51" i="4"/>
  <c r="O21" i="2" s="1"/>
  <c r="L60" i="2"/>
  <c r="N30" i="4"/>
  <c r="O29" i="4"/>
  <c r="N28" i="4"/>
  <c r="O25" i="4"/>
  <c r="O25" i="2" l="1"/>
  <c r="O56" i="2"/>
  <c r="O71" i="2" s="1"/>
  <c r="N31" i="4"/>
  <c r="O31" i="4" s="1"/>
  <c r="N8" i="2"/>
  <c r="O28" i="4"/>
  <c r="O8" i="2" s="1"/>
  <c r="N25" i="2"/>
  <c r="N56" i="2"/>
  <c r="N71" i="2" s="1"/>
  <c r="N9" i="2"/>
  <c r="O30" i="4"/>
  <c r="O9" i="2" s="1"/>
  <c r="M60" i="2"/>
  <c r="M52" i="2"/>
  <c r="M70" i="2"/>
  <c r="M57" i="2"/>
  <c r="M69" i="2" s="1"/>
  <c r="N55" i="2" l="1"/>
  <c r="N10" i="2"/>
  <c r="N47" i="2" s="1"/>
  <c r="N50" i="2"/>
  <c r="N58" i="2"/>
  <c r="N72" i="2" s="1"/>
  <c r="O55" i="2"/>
  <c r="O58" i="2"/>
  <c r="O72" i="2" s="1"/>
  <c r="O10" i="2"/>
  <c r="O47" i="2" s="1"/>
  <c r="O50" i="2"/>
  <c r="O52" i="2" l="1"/>
  <c r="N70" i="2"/>
  <c r="N57" i="2"/>
  <c r="N69" i="2" s="1"/>
  <c r="O70" i="2"/>
  <c r="O57" i="2"/>
  <c r="O69" i="2" s="1"/>
  <c r="N52" i="2"/>
  <c r="N60" i="2"/>
  <c r="O60" i="2" l="1"/>
</calcChain>
</file>

<file path=xl/sharedStrings.xml><?xml version="1.0" encoding="utf-8"?>
<sst xmlns="http://schemas.openxmlformats.org/spreadsheetml/2006/main" count="653" uniqueCount="419">
  <si>
    <t>Read Me - 2027 Operations cost plan</t>
  </si>
  <si>
    <t>Monthly cost plan Jan-Dec 2027 for the Retail Energy &amp; Utilities Operations team. All amounts in EUR.</t>
  </si>
  <si>
    <t>1. How the workbook works</t>
  </si>
  <si>
    <t>Flow</t>
  </si>
  <si>
    <t>Inputs  -&gt;  Calculations  -&gt;  Summary.  Personnel feeds the Summary directly. You only type in Inputs and Personnel; Calculations and Summary are formulas only.</t>
  </si>
  <si>
    <t>Months</t>
  </si>
  <si>
    <t>Every sheet uses the same 12 monthly columns (Jan-27 to Dec-27) followed by a Total 2027 column.</t>
  </si>
  <si>
    <t>Single plan</t>
  </si>
  <si>
    <t>One set of assumptions (no Base/Low/High). To test a what-if, change an input cell; to keep a version, save a copy of the file.</t>
  </si>
  <si>
    <t>2. Sheets</t>
  </si>
  <si>
    <t>Read Me</t>
  </si>
  <si>
    <t>This page.</t>
  </si>
  <si>
    <t>Summary</t>
  </si>
  <si>
    <t>The cost plan. Cost lines grouped in 6 blocks (Payments &amp; collections, Customer communications, Customer service, CS platform, Platforms &amp; market services, Personnel), each with a subtotal, then TOTAL OPERATIONS COST. Key figures at the bottom: new and active customers, total payments, cost per active customer per month, personnel FTE. Below: fixed/variable split, cost by bucket (CTS, outside CTS) and unit economics per POD.</t>
  </si>
  <si>
    <t>Inputs</t>
  </si>
  <si>
    <t>All non-personnel assumptions. Section A: monthly inputs (new customers, CS platform licences). Section B: assumptions, one value per cell, each with unit and note / source. Also shows the check of new customers vs the 2,000 target.</t>
  </si>
  <si>
    <t>Calculations</t>
  </si>
  <si>
    <t>Line-by-line monthly volumes and costs. For each line the volume row comes first, then the cost row, so every number on the Summary can be traced back to its driver.</t>
  </si>
  <si>
    <t>Personnel</t>
  </si>
  <si>
    <t>One row per person or role (up to 40 rows). Monthly FTE and monthly cost are calculated from dates, FTE and quarterly cost. Totals by department at the bottom feed the Summary.</t>
  </si>
  <si>
    <t>Lists</t>
  </si>
  <si>
    <t>Department list used by the dropdown on Personnel.</t>
  </si>
  <si>
    <t>3. Colour code</t>
  </si>
  <si>
    <t>Blue text</t>
  </si>
  <si>
    <t>Input - you can change it.</t>
  </si>
  <si>
    <t>Yellow fill</t>
  </si>
  <si>
    <t>Input not yet available - enter the value. A blank input counts as 0, so the related cost shows as '-'.</t>
  </si>
  <si>
    <t>Black text</t>
  </si>
  <si>
    <t>Formula - do not overwrite.</t>
  </si>
  <si>
    <t>Green text</t>
  </si>
  <si>
    <t>Link to another sheet - do not overwrite.</t>
  </si>
  <si>
    <t>'-'</t>
  </si>
  <si>
    <t>Zero value.</t>
  </si>
  <si>
    <t>4. How to update the plan</t>
  </si>
  <si>
    <t>Step 1 - Customers</t>
  </si>
  <si>
    <t>Inputs row 6: enter new customers per month. Opening base on 1 Jan 2027 is 0. Check 'Difference vs target' in section B: 0 means the months add up to the 2,000 target.</t>
  </si>
  <si>
    <t>Step 2 - Assumptions</t>
  </si>
  <si>
    <t>Inputs section B: fill the yellow cells and update any value that changes (rates, shares, prices).</t>
  </si>
  <si>
    <t>Step 3 - Licences</t>
  </si>
  <si>
    <t>Inputs row 7: number of CS platform licences per month (starts at 3).</t>
  </si>
  <si>
    <t>Step 4 - Personnel</t>
  </si>
  <si>
    <t>Personnel sheet: one row per person/role - ID, role, department (dropdown), start date, end date (blank = open), FTE, quarterly cost at 1 FTE taken from the HR analysis, one-off hiring fee. Check 'unassigned cost' at the bottom is 0.</t>
  </si>
  <si>
    <t>Step 5 - Read</t>
  </si>
  <si>
    <t>Summary sheet: monthly and full-year cost by line, block and total.</t>
  </si>
  <si>
    <t>5. Calculation logic</t>
  </si>
  <si>
    <t>Customers</t>
  </si>
  <si>
    <t>Active customers = active last month + new customers this month. PODs = active customers x 1.</t>
  </si>
  <si>
    <t>Payments</t>
  </si>
  <si>
    <t>Payments = active customers x 1 (monthly) + new customers x 1 (starting payment) -&gt; 13 payments for a customer active all year. Split by payment mix: SEPA DD and Card / Apple Pay / Google Pay (card share = 100% - SEPA share).</t>
  </si>
  <si>
    <t>Payment commissions</t>
  </si>
  <si>
    <t>SEPA: transactions x fee per transaction (fixed + % x average payment, capped if a cap is set). Card / wallet: transactions x (EUR 0.25 + 1.7% x average payment).</t>
  </si>
  <si>
    <t>Stripe Billing</t>
  </si>
  <si>
    <t>Part of payment retries: retried payments x average payment x 0.7% (Smart Retries). Not applied to first-attempt payments.</t>
  </si>
  <si>
    <t>Payment retries</t>
  </si>
  <si>
    <t>Failed payments = transactions x failure rate. SEPA: failures x EUR 3.50 + retries x SEPA fee. Card / wallet: retries x card fee. Plus Stripe Billing 0.7% on the retried volume. Retries per failure = 1 by default.</t>
  </si>
  <si>
    <t>Paper invoices</t>
  </si>
  <si>
    <t>Invoices = active customers x 1. Paper invoices = invoices x paper share; cost = printing &amp; enveloping + postage per paper invoice. Post and paper invoices are the same line.</t>
  </si>
  <si>
    <t>SMS</t>
  </si>
  <si>
    <t>Active customers x SMS per customer x price per SMS.</t>
  </si>
  <si>
    <t>Inbound calls</t>
  </si>
  <si>
    <t>Inbound calls = active customers x calls per customer, split into 3 paths: (1) AI = calls x AI share; (2) direct to human = calls x human share; (3) no human, no AI = the rest (100% - AI - human).</t>
  </si>
  <si>
    <t>Call costs</t>
  </si>
  <si>
    <t>Cost of contact EUR 0.89 on paths 1 and 3. AI call EUR 1.99 on path 1 (on top of the cost of contact). Human calls = path 2 + AI calls escalated to a human (AI calls x escalation %): human minutes = calls x average duration, cost = minutes x inbound price + minutes x recordings &amp; transcripts price (no cost of contact). An escalated call pays EUR 0.89 + EUR 1.99 + its human minutes.</t>
  </si>
  <si>
    <t>Outbound calls</t>
  </si>
  <si>
    <t>Active customers x outbound calls per customer x average duration x EUR 0.15 per minute.</t>
  </si>
  <si>
    <t>Disputes</t>
  </si>
  <si>
    <t>Active customers x dispute rate x cost per dispute (EUR 0 in 2027).</t>
  </si>
  <si>
    <t>CS platform</t>
  </si>
  <si>
    <t>Licences x monthly licence price + number of phone numbers x monthly fee per number.</t>
  </si>
  <si>
    <t>Platforms</t>
  </si>
  <si>
    <t>Haulogy: PODs x EUR 3 per month + fixed monthly fee. Pricing connector: EUR 8,000 per year spread evenly (1/12 per month). Equifax: new customers x EUR 1 (one customer information check at sign-up).</t>
  </si>
  <si>
    <t>Monthly FTE = FTE x share of the month between start and end date (calendar days). Monthly cost = quarterly cost / 3 x monthly FTE, plus the hiring fee in the start month.</t>
  </si>
  <si>
    <t>6. Key assumptions and sources</t>
  </si>
  <si>
    <t>Stripe rates</t>
  </si>
  <si>
    <t>SEPA DD EUR 0.35 flat, failed debit EUR 3.50, cards 1.5% / 1.9% + EUR 0.25 (from Stripe information provided by Luca). 1.7% is a blended assumption (~50/50 standard / premium cards).</t>
  </si>
  <si>
    <t>0.7% applied to retried volume only. Rate from a secondary source (metacto.com) - to be confirmed with Stripe.</t>
  </si>
  <si>
    <t>Volumes</t>
  </si>
  <si>
    <t>Target 2,000 customers at year end; 1 POD per customer; average payment EUR 100; monthly billing.</t>
  </si>
  <si>
    <t>Placeholders</t>
  </si>
  <si>
    <t>New customers 200/month and 3 licences/month are starting values to be replaced.</t>
  </si>
  <si>
    <t>7. Cost to serve and fixed / variable</t>
  </si>
  <si>
    <t>Cost to serve (CTS)</t>
  </si>
  <si>
    <t>Operating cost of serving the book, per POD per year = CTS costs / average active PODs in the year. Split into Operations (back office staff, billing platform, payments, printing, postage, SMS, customer checks) and Customer care (care staff, contacts, AI and human calls, CX tools, phone numbers, disputes).</t>
  </si>
  <si>
    <t>Marginal CTS</t>
  </si>
  <si>
    <t>Variable CTS only (costs that move with PODs, payments or calls) / average active PODs. Staff and fixed platform fees are step-fixed and count as 0 at the margin.</t>
  </si>
  <si>
    <t>Outside CTS</t>
  </si>
  <si>
    <t>Pricing &amp; Risk Management staff and the pricing connector platform: energy and commercial management, not cost to serve. Shown separately so CTS + outside CTS = total.</t>
  </si>
  <si>
    <t>Fixed / variable</t>
  </si>
  <si>
    <t>Variable = changes automatically with customers, PODs, payments or calls. Fixed = independent of volume or changed only by decision (personnel, licences, phone numbers, Haulogy fixed fee, pricing connector).</t>
  </si>
  <si>
    <t>Where</t>
  </si>
  <si>
    <t>Summary columns P-Q tag each line; the Summary bottom sections show the fixed/variable split, cost by bucket and unit economics.</t>
  </si>
  <si>
    <t>Reading the figures</t>
  </si>
  <si>
    <t>Total column = full-year cost / average active PODs. Monthly columns = run-rate (month x 12 / PODs of the month); use December as the steady-state view.</t>
  </si>
  <si>
    <t>2027 Operations cost plan - Summary (EUR)</t>
  </si>
  <si>
    <t>Monthly view Jan-Dec 2027. All figures calculated from Inputs, Calculations and Personnel - do not type in this sheet.</t>
  </si>
  <si>
    <t>Cost line</t>
  </si>
  <si>
    <t>Jan-27</t>
  </si>
  <si>
    <t>Feb-27</t>
  </si>
  <si>
    <t>Mar-27</t>
  </si>
  <si>
    <t>Apr-27</t>
  </si>
  <si>
    <t>May-27</t>
  </si>
  <si>
    <t>Jun-27</t>
  </si>
  <si>
    <t>Jul-27</t>
  </si>
  <si>
    <t>Aug-27</t>
  </si>
  <si>
    <t>Sep-27</t>
  </si>
  <si>
    <t>Oct-27</t>
  </si>
  <si>
    <t>Nov-27</t>
  </si>
  <si>
    <t>Dec-27</t>
  </si>
  <si>
    <t>Total 2027</t>
  </si>
  <si>
    <t>CTS bucket</t>
  </si>
  <si>
    <t>Fixed / Variable</t>
  </si>
  <si>
    <t>1. Payments &amp; collections</t>
  </si>
  <si>
    <t>SEPA DD commissions</t>
  </si>
  <si>
    <t>CTS - Operations</t>
  </si>
  <si>
    <t>Variable</t>
  </si>
  <si>
    <t>Card / wallet commissions</t>
  </si>
  <si>
    <t>Payment retries - transaction fees</t>
  </si>
  <si>
    <t>Payment retries - Stripe Billing</t>
  </si>
  <si>
    <t>Subtotal Payments &amp; collections</t>
  </si>
  <si>
    <t>2. Customer communications</t>
  </si>
  <si>
    <t>Paper invoices - printing &amp; enveloping</t>
  </si>
  <si>
    <t>Paper invoices - postage</t>
  </si>
  <si>
    <t>Subtotal Customer communications</t>
  </si>
  <si>
    <t>3. Customer service</t>
  </si>
  <si>
    <t>Cost of contact (AI + no human)</t>
  </si>
  <si>
    <t>CTS - Customer care</t>
  </si>
  <si>
    <t>AI calls</t>
  </si>
  <si>
    <t>Inbound calls - human</t>
  </si>
  <si>
    <t>Recordings &amp; transcripts</t>
  </si>
  <si>
    <t>Dispute resolution</t>
  </si>
  <si>
    <t>Subtotal Customer service</t>
  </si>
  <si>
    <t>4. CS platform</t>
  </si>
  <si>
    <t>CS platform licences</t>
  </si>
  <si>
    <t>Fixed</t>
  </si>
  <si>
    <t>Phone numbers</t>
  </si>
  <si>
    <t>Subtotal CS platform</t>
  </si>
  <si>
    <t>5. Platforms &amp; market services</t>
  </si>
  <si>
    <t>Haulogy - POD fees</t>
  </si>
  <si>
    <t>Haulogy - fixed monthly fee</t>
  </si>
  <si>
    <t>Pricing connector platform</t>
  </si>
  <si>
    <t>Equifax - customer checks</t>
  </si>
  <si>
    <t>Subtotal Platforms &amp; market services</t>
  </si>
  <si>
    <t>6. Personnel</t>
  </si>
  <si>
    <t>Subtotal Personnel</t>
  </si>
  <si>
    <t>TOTAL OPERATIONS COST</t>
  </si>
  <si>
    <t>Fixed / variable split</t>
  </si>
  <si>
    <t>Total variable cost</t>
  </si>
  <si>
    <t>Total fixed cost</t>
  </si>
  <si>
    <t>Check (should be 0)</t>
  </si>
  <si>
    <t>Cost by bucket</t>
  </si>
  <si>
    <t>Total cost to serve (CTS)</t>
  </si>
  <si>
    <t xml:space="preserve">   of which variable CTS</t>
  </si>
  <si>
    <t>Outside CTS (Pricing &amp; Risk Management, pricing connector)</t>
  </si>
  <si>
    <t>Key figures</t>
  </si>
  <si>
    <t>New customers</t>
  </si>
  <si>
    <t>Active PODs (month) / average active PODs (total)</t>
  </si>
  <si>
    <t>Total payments</t>
  </si>
  <si>
    <t>Personnel FTE (total = average)</t>
  </si>
  <si>
    <t>Unit economics (EUR per POD per year)</t>
  </si>
  <si>
    <t>CTS per POD per year - average</t>
  </si>
  <si>
    <t xml:space="preserve">   of which Operations</t>
  </si>
  <si>
    <t xml:space="preserve">   of which Customer care</t>
  </si>
  <si>
    <t>CTS per POD per year - marginal (variable only)</t>
  </si>
  <si>
    <t>Total column = full-year cost / average active PODs over the 12 months.</t>
  </si>
  <si>
    <t>Monthly columns = run-rate: that month's cost x 12 / active PODs of the month. December is the closest to steady state (PODs start in July).</t>
  </si>
  <si>
    <t>Bucket and Fixed/Variable tags in columns P-Q drive these totals; change a tag there to reclassify a line.</t>
  </si>
  <si>
    <t>Inputs - 2027 Operations cost plan</t>
  </si>
  <si>
    <t>All non-personnel assumptions. Blue text = input. Yellow fill = value not yet available (enter it; blank counts as 0). Black = calculated.</t>
  </si>
  <si>
    <t>A. Monthly inputs</t>
  </si>
  <si>
    <t>Input</t>
  </si>
  <si>
    <t>Unit</t>
  </si>
  <si>
    <t>Note / source</t>
  </si>
  <si>
    <t>customers</t>
  </si>
  <si>
    <t>Placeholder 200/month (Luca) - replace with real phasing. Opening base 1 Jan 2027 = 0.</t>
  </si>
  <si>
    <t>licences</t>
  </si>
  <si>
    <t>Initial estimate: 3 licences (Luca)</t>
  </si>
  <si>
    <t>B. Assumptions</t>
  </si>
  <si>
    <t>Value</t>
  </si>
  <si>
    <t>Customer base</t>
  </si>
  <si>
    <t>Year-end customer target (= PODs)</t>
  </si>
  <si>
    <t>2027 year-end target (Luca)</t>
  </si>
  <si>
    <t>Total new customers entered (row 6)</t>
  </si>
  <si>
    <t>Calculated</t>
  </si>
  <si>
    <t>Difference vs target</t>
  </si>
  <si>
    <t>Calculated: 0 = monthly phasing matches the target</t>
  </si>
  <si>
    <t>Payments - volumes</t>
  </si>
  <si>
    <t>Payments per active customer per month</t>
  </si>
  <si>
    <t>payments</t>
  </si>
  <si>
    <t>Monthly billing (Luca)</t>
  </si>
  <si>
    <t>Starting payments per new customer</t>
  </si>
  <si>
    <t>One starting payment at sign-up -&gt; 13 payments in a full year (Luca)</t>
  </si>
  <si>
    <t>Average payment amount</t>
  </si>
  <si>
    <t>EUR</t>
  </si>
  <si>
    <t>Luca</t>
  </si>
  <si>
    <t>Payment mix - SEPA Direct Debit</t>
  </si>
  <si>
    <t>% of payments</t>
  </si>
  <si>
    <t>Payment mix - Card / Apple Pay / Google Pay</t>
  </si>
  <si>
    <t>Calculated as 100% minus SEPA share</t>
  </si>
  <si>
    <t>Payments - Stripe rates</t>
  </si>
  <si>
    <t>SEPA DD - fixed fee per successful transaction</t>
  </si>
  <si>
    <t>EUR / tx</t>
  </si>
  <si>
    <t>Stripe, flat EUR 0.35 (Luca). Alternative pricing seen: 0.8% + EUR 0.30 capped EUR 6 - use the % and cap cells below if that applies</t>
  </si>
  <si>
    <t>SEPA DD - variable fee</t>
  </si>
  <si>
    <t>% of amount</t>
  </si>
  <si>
    <t>Stripe - 0 under flat pricing</t>
  </si>
  <si>
    <t>SEPA DD - fee cap per transaction</t>
  </si>
  <si>
    <t>Stripe - 0 = no cap</t>
  </si>
  <si>
    <t>SEPA DD - fee per transaction (calculated)</t>
  </si>
  <si>
    <t>Fixed + % x average amount, capped if a cap is set</t>
  </si>
  <si>
    <t>SEPA DD - fee per failed / returned debit</t>
  </si>
  <si>
    <t>EUR / failure</t>
  </si>
  <si>
    <t>Stripe (Luca)</t>
  </si>
  <si>
    <t>Card / wallet - variable fee</t>
  </si>
  <si>
    <t>Blended assumption: Stripe standard EEA cards 1.5% and premium 1.9% -&gt; 1.7% assumes ~50/50 split. Apple Pay / Google Pay priced as cards</t>
  </si>
  <si>
    <t>Card / wallet - fixed fee per transaction</t>
  </si>
  <si>
    <t>Card / wallet - fee per transaction (calculated)</t>
  </si>
  <si>
    <t>Fixed + % x average amount</t>
  </si>
  <si>
    <t>Stripe Billing fee (Smart Retries)</t>
  </si>
  <si>
    <t>% of retried volume</t>
  </si>
  <si>
    <t>Applied to the volume of retried payments only (Luca). Rate source: metacto.com cost breakdown of Stripe Billing (secondary source) - confirm with Stripe</t>
  </si>
  <si>
    <t>Payments - retries</t>
  </si>
  <si>
    <t>Failure rate - SEPA DD</t>
  </si>
  <si>
    <t>% of SEPA tx</t>
  </si>
  <si>
    <t>Failure rate - Card / wallet</t>
  </si>
  <si>
    <t>% of card tx</t>
  </si>
  <si>
    <t>Retries per failed payment</t>
  </si>
  <si>
    <t>retries</t>
  </si>
  <si>
    <t>Default 1. Each retry is charged as a new transaction (SEPA: new collection fee; card: card fee, assumed charged on retry)</t>
  </si>
  <si>
    <t>Customer communications</t>
  </si>
  <si>
    <t>Invoices per active customer per month</t>
  </si>
  <si>
    <t>invoices</t>
  </si>
  <si>
    <t>Monthly billing</t>
  </si>
  <si>
    <t>Paper invoice share</t>
  </si>
  <si>
    <t>% of invoices</t>
  </si>
  <si>
    <t>Printing &amp; enveloping per paper invoice</t>
  </si>
  <si>
    <t>EUR / invoice</t>
  </si>
  <si>
    <t>Postage per paper invoice</t>
  </si>
  <si>
    <t>SMS per active customer per month</t>
  </si>
  <si>
    <t>Price per SMS</t>
  </si>
  <si>
    <t>EUR / SMS</t>
  </si>
  <si>
    <t>Customer service</t>
  </si>
  <si>
    <t>Inbound calls per active customer per month</t>
  </si>
  <si>
    <t>calls</t>
  </si>
  <si>
    <t>Input - total inbound calls, split into the three paths below</t>
  </si>
  <si>
    <t>Share of calls handled by AI</t>
  </si>
  <si>
    <t>% of calls</t>
  </si>
  <si>
    <t>Input - path 1: cost of contact + AI call; part may be escalated to a human</t>
  </si>
  <si>
    <t>Share of calls routed directly to a human</t>
  </si>
  <si>
    <t>Input - path 2: inbound minutes + recordings, no cost of contact</t>
  </si>
  <si>
    <t>Share of calls with no human and no AI</t>
  </si>
  <si>
    <t>Calculated: 100% - AI share - human share (path 3: cost of contact only)</t>
  </si>
  <si>
    <t>Check: AI + human share</t>
  </si>
  <si>
    <t>Calculated: OK if the two shares do not exceed 100%</t>
  </si>
  <si>
    <t>AI calls escalated to a human</t>
  </si>
  <si>
    <t>% of AI calls</t>
  </si>
  <si>
    <t>Input - escalated calls pay cost of contact + AI call + inbound minutes</t>
  </si>
  <si>
    <t>Cost of contact (AI or no human)</t>
  </si>
  <si>
    <t>EUR / contact</t>
  </si>
  <si>
    <t>Luca - applies to AI calls and calls with no human and no AI</t>
  </si>
  <si>
    <t>Cost per AI call</t>
  </si>
  <si>
    <t>EUR / call</t>
  </si>
  <si>
    <t>Luca - in addition to the cost of contact</t>
  </si>
  <si>
    <t>Average human inbound call duration</t>
  </si>
  <si>
    <t>min / call</t>
  </si>
  <si>
    <t>Inbound call price</t>
  </si>
  <si>
    <t>EUR / min</t>
  </si>
  <si>
    <t>Input - enter EUR price (provider quote in USD: 0.0160 / min)</t>
  </si>
  <si>
    <t>Input - enter EUR price (provider quote in USD: 0.0035 / min). Applied to human inbound minutes</t>
  </si>
  <si>
    <t>Outbound calls per active customer per month</t>
  </si>
  <si>
    <t>Input - outbound calls made by agents</t>
  </si>
  <si>
    <t>Average outbound call duration</t>
  </si>
  <si>
    <t>Outbound call price</t>
  </si>
  <si>
    <t>Disputes per active customer per month</t>
  </si>
  <si>
    <t>disputes</t>
  </si>
  <si>
    <t>Cost per dispute</t>
  </si>
  <si>
    <t>EUR / dispute</t>
  </si>
  <si>
    <t>Zero cost in 2027 (Luca); line kept for later years</t>
  </si>
  <si>
    <t>Licence price per month</t>
  </si>
  <si>
    <t>EUR / licence / month</t>
  </si>
  <si>
    <t>Input - number of licences in row 7</t>
  </si>
  <si>
    <t>Number of phone numbers</t>
  </si>
  <si>
    <t>numbers</t>
  </si>
  <si>
    <t>Phone number fee</t>
  </si>
  <si>
    <t>EUR / number / month</t>
  </si>
  <si>
    <t>Input - enter EUR price (provider quote in USD: 2.25 / month)</t>
  </si>
  <si>
    <t>Platforms &amp; market services</t>
  </si>
  <si>
    <t>PODs per customer</t>
  </si>
  <si>
    <t>PODs</t>
  </si>
  <si>
    <t>1 POD per customer (Luca)</t>
  </si>
  <si>
    <t>Haulogy fee per POD per month</t>
  </si>
  <si>
    <t>EUR / POD / month</t>
  </si>
  <si>
    <t>Luca - POD connection only, monthly</t>
  </si>
  <si>
    <t>Haulogy fixed fee per month</t>
  </si>
  <si>
    <t>EUR / month</t>
  </si>
  <si>
    <t>Input - recurring monthly platform fee, in addition to the POD fee</t>
  </si>
  <si>
    <t>Equifax check per new customer</t>
  </si>
  <si>
    <t>EUR / new customer</t>
  </si>
  <si>
    <t>Luca - estimate; customer information research, one check at sign-up</t>
  </si>
  <si>
    <t>Pricing connector platform licence</t>
  </si>
  <si>
    <t>EUR / year</t>
  </si>
  <si>
    <t>Luca - spread evenly over 12 months</t>
  </si>
  <si>
    <t>Calculations - monthly volumes and costs (EUR)</t>
  </si>
  <si>
    <t>No inputs on this sheet. Every line reads from Inputs or Personnel.</t>
  </si>
  <si>
    <t>Line</t>
  </si>
  <si>
    <t>Month number</t>
  </si>
  <si>
    <t>month no.</t>
  </si>
  <si>
    <t>Active customers (end of month)</t>
  </si>
  <si>
    <t>Monthly payments</t>
  </si>
  <si>
    <t>Starting payments (new customers)</t>
  </si>
  <si>
    <t>SEPA DD transactions</t>
  </si>
  <si>
    <t>Card / wallet transactions</t>
  </si>
  <si>
    <t>Payments - costs</t>
  </si>
  <si>
    <t>Failed SEPA DD payments</t>
  </si>
  <si>
    <t>Failed card / wallet payments</t>
  </si>
  <si>
    <t>SEPA DD failure fees</t>
  </si>
  <si>
    <t>SEPA DD retry collection fees</t>
  </si>
  <si>
    <t>Card / wallet retry fees</t>
  </si>
  <si>
    <t>Retry transaction fees</t>
  </si>
  <si>
    <t>Retried volume</t>
  </si>
  <si>
    <t>Stripe Billing (Smart Retries)</t>
  </si>
  <si>
    <t>Total payment retries</t>
  </si>
  <si>
    <t>Invoices issued</t>
  </si>
  <si>
    <t>SMS sent</t>
  </si>
  <si>
    <t>Path 1 - AI calls</t>
  </si>
  <si>
    <t>Path 2 - calls routed directly to a human</t>
  </si>
  <si>
    <t>Path 3 - calls with no human and no AI</t>
  </si>
  <si>
    <t>Total calls handled by a human</t>
  </si>
  <si>
    <t>Human inbound minutes</t>
  </si>
  <si>
    <t>minutes</t>
  </si>
  <si>
    <t>Outbound minutes</t>
  </si>
  <si>
    <t>Licences</t>
  </si>
  <si>
    <t>Personnel - one row per person or role</t>
  </si>
  <si>
    <t>Enter ID, role, department, dates, FTE, quarterly cost (from the HR analysis, at 1 FTE) and hiring fee. Monthly FTE pro-rated by calendar days. Blank end date = open.</t>
  </si>
  <si>
    <t>Month start</t>
  </si>
  <si>
    <t>Month end</t>
  </si>
  <si>
    <t>Monthly FTE</t>
  </si>
  <si>
    <t>Monthly cost (EUR)</t>
  </si>
  <si>
    <t>ID</t>
  </si>
  <si>
    <t>Role</t>
  </si>
  <si>
    <t>Department</t>
  </si>
  <si>
    <t>Description / assumption</t>
  </si>
  <si>
    <t>Start</t>
  </si>
  <si>
    <t>End (blank = open)</t>
  </si>
  <si>
    <t>FTE</t>
  </si>
  <si>
    <t>Quarterly cost at 1 FTE (EUR)</t>
  </si>
  <si>
    <t>One-off hiring fee (EUR)</t>
  </si>
  <si>
    <t>FTE Jan-27</t>
  </si>
  <si>
    <t>FTE Feb-27</t>
  </si>
  <si>
    <t>FTE Mar-27</t>
  </si>
  <si>
    <t>FTE Apr-27</t>
  </si>
  <si>
    <t>FTE May-27</t>
  </si>
  <si>
    <t>FTE Jun-27</t>
  </si>
  <si>
    <t>FTE Jul-27</t>
  </si>
  <si>
    <t>FTE Aug-27</t>
  </si>
  <si>
    <t>FTE Sep-27</t>
  </si>
  <si>
    <t>FTE Oct-27</t>
  </si>
  <si>
    <t>FTE Nov-27</t>
  </si>
  <si>
    <t>FTE Dec-27</t>
  </si>
  <si>
    <t>Cost Jan-27</t>
  </si>
  <si>
    <t>Cost Feb-27</t>
  </si>
  <si>
    <t>Cost Mar-27</t>
  </si>
  <si>
    <t>Cost Apr-27</t>
  </si>
  <si>
    <t>Cost May-27</t>
  </si>
  <si>
    <t>Cost Jun-27</t>
  </si>
  <si>
    <t>Cost Jul-27</t>
  </si>
  <si>
    <t>Cost Aug-27</t>
  </si>
  <si>
    <t>Cost Sep-27</t>
  </si>
  <si>
    <t>Cost Oct-27</t>
  </si>
  <si>
    <t>Cost Nov-27</t>
  </si>
  <si>
    <t>Cost Dec-27</t>
  </si>
  <si>
    <t>Total 2027 (EUR)</t>
  </si>
  <si>
    <t>R01</t>
  </si>
  <si>
    <t>Chief Operating Officer</t>
  </si>
  <si>
    <t>Operations &amp; Service</t>
  </si>
  <si>
    <t>Switzerland · cross-country · Product Manager &amp; Excellence Lead. Covering Credit risk Management</t>
  </si>
  <si>
    <t>R02</t>
  </si>
  <si>
    <t>Deputy COO &amp; Innovation Lead</t>
  </si>
  <si>
    <t>Spain · cross-country · Co Product Manager covering AI innovation</t>
  </si>
  <si>
    <t>R03</t>
  </si>
  <si>
    <t>Customer Excellence Manager</t>
  </si>
  <si>
    <t>Customer Service</t>
  </si>
  <si>
    <t>Spain · cross-country · Optimization Team / Direct Report to COO · hired via agency (20% of salary)</t>
  </si>
  <si>
    <t>R04</t>
  </si>
  <si>
    <t>Customer Service Manager</t>
  </si>
  <si>
    <t>Spain · cross-country · Core Team &amp; Team Lead / Direct Report to COO</t>
  </si>
  <si>
    <t>R05</t>
  </si>
  <si>
    <t>Customer Service Expert</t>
  </si>
  <si>
    <t>Spain · country-specific · Core team</t>
  </si>
  <si>
    <t>R06</t>
  </si>
  <si>
    <t>Cash Management Expert</t>
  </si>
  <si>
    <t>Billing &amp; Invoicing</t>
  </si>
  <si>
    <t>Spain · cross-country · Core team / (potential little buffer)</t>
  </si>
  <si>
    <t>R07</t>
  </si>
  <si>
    <t>Switching &amp; Metering Manager</t>
  </si>
  <si>
    <t>Switching &amp; Metering</t>
  </si>
  <si>
    <t>Spain · cross-country · Core Team &amp; Team Lead / Direct Report to COO · hired via agency (20% of salary)</t>
  </si>
  <si>
    <t>R08</t>
  </si>
  <si>
    <t>Switching &amp; Metering Expert</t>
  </si>
  <si>
    <t>Spain · country-specific · Core Team</t>
  </si>
  <si>
    <t>R09</t>
  </si>
  <si>
    <t>Pricing &amp; Forecasting Expert</t>
  </si>
  <si>
    <t>Pricing &amp; Risk Management</t>
  </si>
  <si>
    <t>Spain · country-specific · Core Team &amp; Team Lead / Direct Report to COO</t>
  </si>
  <si>
    <t>R10</t>
  </si>
  <si>
    <t>Quant Analyst &amp; Market Risk</t>
  </si>
  <si>
    <t>Spain · cross-country · Optimization Team</t>
  </si>
  <si>
    <t>R11</t>
  </si>
  <si>
    <t>Billing &amp; invoicing Manager</t>
  </si>
  <si>
    <t>Spain · cross-country · Core Team &amp; Team lead / Direct Report to COO · hired via agency (20% of salary)</t>
  </si>
  <si>
    <t>R12</t>
  </si>
  <si>
    <t>Billing &amp; Invoicing Expert</t>
  </si>
  <si>
    <t>Spain · cross-country · Core team</t>
  </si>
  <si>
    <t>R13</t>
  </si>
  <si>
    <t>Operation Excellence Manager</t>
  </si>
  <si>
    <t>Totals by department</t>
  </si>
  <si>
    <t>Total personnel</t>
  </si>
  <si>
    <t>Check: unassigned cost (rows with no department)</t>
  </si>
  <si>
    <t>Departments</t>
  </si>
  <si>
    <t>Department list used by the dropdown on the Personnel sheet. Add a name here only if you also add a total row on Personnel.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</si>
</sst>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0.00\);\-"/>
    <numFmt numFmtId="166" formatCode="0.0%;\(0.0%\);\-"/>
    <numFmt numFmtId="167" formatCode="0.00%;\(0.00%\);\-"/>
    <numFmt numFmtId="168" formatCode="#,##0.0000;\(#,##0.0000\);\-"/>
    <numFmt numFmtId="169" formatCode="#,##0.0;\(#,##0.0\);\-"/>
    <numFmt numFmtId="170" formatCode="dd\-mmm\-yy"/>
    <numFmt numFmtId="171" formatCode="m/d/yyyy"/>
  </numFmts>
  <fonts count="18" x14ac:knownFonts="1">
    <font>
      <sz val="11"/>
      <color theme="1"/>
      <name val="Calibri"/>
      <family val="2"/>
      <charset val="1"/>
    </font>
    <font>
      <sz val="11"/>
      <color theme="1"/>
      <name val="Arial"/>
      <charset val="1"/>
    </font>
    <font>
      <b/>
      <sz val="14"/>
      <color rgb="FF000000"/>
      <name val="Arial"/>
      <charset val="1"/>
    </font>
    <font>
      <i/>
      <sz val="10"/>
      <color rgb="FF595959"/>
      <name val="Arial"/>
      <charset val="1"/>
    </font>
    <font>
      <b/>
      <sz val="10"/>
      <color rgb="FFFFFFFF"/>
      <name val="Arial"/>
      <charset val="1"/>
    </font>
    <font>
      <b/>
      <sz val="10"/>
      <color rgb="FF000000"/>
      <name val="Arial"/>
      <charset val="1"/>
    </font>
    <font>
      <sz val="10"/>
      <color rgb="FF000000"/>
      <name val="Arial"/>
      <charset val="1"/>
    </font>
    <font>
      <b/>
      <sz val="10"/>
      <color rgb="FF0000FF"/>
      <name val="Arial"/>
      <charset val="1"/>
    </font>
    <font>
      <b/>
      <sz val="10"/>
      <color rgb="FF008000"/>
      <name val="Arial"/>
      <charset val="1"/>
    </font>
    <font>
      <sz val="10"/>
      <color rgb="FF008000"/>
      <name val="Arial"/>
      <charset val="1"/>
    </font>
    <font>
      <sz val="10"/>
      <color rgb="FF0000FF"/>
      <name val="Arial"/>
      <charset val="1"/>
    </font>
    <font>
      <b/>
      <sz val="11"/>
      <color rgb="FF000000"/>
      <name val="Arial"/>
      <charset val="1"/>
    </font>
    <font>
      <i/>
      <sz val="10"/>
      <color rgb="FF000000"/>
      <name val="Arial"/>
      <charset val="1"/>
    </font>
    <font>
      <i/>
      <sz val="8"/>
      <color rgb="FF595959"/>
      <name val="Arial"/>
      <charset val="1"/>
    </font>
    <font>
      <b/>
      <sz val="10"/>
      <color rgb="FF005A70"/>
      <name val="Arial"/>
      <charset val="1"/>
    </font>
    <font>
      <sz val="10"/>
      <color rgb="FF595959"/>
      <name val="Arial"/>
      <charset val="1"/>
    </font>
    <font>
      <sz val="8"/>
      <color rgb="FF808080"/>
      <name val="Arial"/>
      <charset val="1"/>
    </font>
    <font>
      <sz val="11"/>
      <color theme="1"/>
      <name val="Calibri"/>
      <family val="2"/>
      <charset val="1"/>
    </font>
  </fonts>
  <fills count="6">
    <fill>
      <patternFill patternType="none"/>
    </fill>
    <fill>
      <patternFill patternType="gray125"/>
    </fill>
    <fill>
      <patternFill patternType="solid">
        <fgColor rgb="FF005A70"/>
        <bgColor rgb="FF008080"/>
      </patternFill>
    </fill>
    <fill>
      <patternFill patternType="solid">
        <fgColor rgb="FFFFFF00"/>
        <bgColor rgb="FFFFFF00"/>
      </patternFill>
    </fill>
    <fill>
      <patternFill patternType="solid">
        <fgColor rgb="FFD9E7EC"/>
        <bgColor rgb="FFEEF3F5"/>
      </patternFill>
    </fill>
    <fill>
      <patternFill patternType="solid">
        <fgColor rgb="FFEEF3F5"/>
        <bgColor rgb="FFFFFFFF"/>
      </patternFill>
    </fill>
  </fills>
  <borders count="5">
    <border>
      <left/>
      <right/>
      <top/>
      <bottom/>
      <diagonal/>
    </border>
    <border>
      <left/>
      <right/>
      <top style="thin">
        <color auto="1"/>
      </top>
      <bottom/>
      <diagonal/>
    </border>
    <border>
      <left/>
      <right/>
      <top style="thin">
        <color auto="1"/>
      </top>
      <bottom style="double">
        <color auto="1"/>
      </bottom>
      <diagonal/>
    </border>
    <border>
      <left style="thin">
        <color rgb="FF999999"/>
      </left>
      <right style="thin">
        <color rgb="FF999999"/>
      </right>
      <top style="thin">
        <color rgb="FF999999"/>
      </top>
      <bottom style="thin">
        <color rgb="FF999999"/>
      </bottom>
      <diagonal/>
    </border>
    <border>
      <left style="thin">
        <color auto="1"/>
      </left>
      <right style="thin">
        <color auto="1"/>
      </right>
      <top style="thin">
        <color auto="1"/>
      </top>
      <bottom style="thin">
        <color auto="1"/>
      </bottom>
      <diagonal/>
    </border>
  </borders>
  <cellStyleXfs count="2">
    <xf numFmtId="0" fontId="0" fillId="0" borderId="0"/>
    <xf numFmtId="0" fontId="17" fillId="0" borderId="0"/>
  </cellStyleXfs>
  <cellXfs count="68">
    <xf numFmtId="0" fontId="0" fillId="0" borderId="0" xfId="0"/>
    <xf numFmtId="0" fontId="4" fillId="2" borderId="0" xfId="0" applyFont="1" applyFill="1" applyAlignment="1">
      <alignment horizontal="center" vertical="center" wrapText="1"/>
    </xf>
    <xf numFmtId="0" fontId="1" fillId="0" borderId="0" xfId="0" applyFont="1"/>
    <xf numFmtId="0" fontId="2" fillId="0" borderId="0" xfId="0" applyFont="1"/>
    <xf numFmtId="0" fontId="3" fillId="0" borderId="0" xfId="0" applyFont="1"/>
    <xf numFmtId="0" fontId="4" fillId="2" borderId="0" xfId="0" applyFont="1" applyFill="1"/>
    <xf numFmtId="0" fontId="1" fillId="2" borderId="0" xfId="0" applyFont="1" applyFill="1"/>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5" fillId="3" borderId="0" xfId="0" applyFont="1" applyFill="1" applyAlignment="1">
      <alignment vertical="top" wrapText="1"/>
    </xf>
    <xf numFmtId="0" fontId="8" fillId="0" borderId="0" xfId="0" applyFont="1" applyAlignment="1">
      <alignment vertical="top" wrapText="1"/>
    </xf>
    <xf numFmtId="0" fontId="0" fillId="2" borderId="0" xfId="0" applyFill="1"/>
    <xf numFmtId="0" fontId="4" fillId="2" borderId="0" xfId="0" applyFont="1" applyFill="1" applyAlignment="1">
      <alignment horizontal="left" vertical="center" wrapText="1"/>
    </xf>
    <xf numFmtId="0" fontId="4" fillId="2" borderId="0" xfId="0" applyFont="1" applyFill="1" applyAlignment="1">
      <alignment horizontal="center" vertical="center" wrapText="1"/>
    </xf>
    <xf numFmtId="0" fontId="5" fillId="4" borderId="0" xfId="0" applyFont="1" applyFill="1"/>
    <xf numFmtId="0" fontId="1" fillId="4" borderId="0" xfId="0" applyFont="1" applyFill="1"/>
    <xf numFmtId="0" fontId="6" fillId="0" borderId="0" xfId="0" applyFont="1"/>
    <xf numFmtId="164" fontId="9" fillId="0" borderId="0" xfId="0" applyNumberFormat="1" applyFont="1"/>
    <xf numFmtId="0" fontId="10" fillId="0" borderId="0" xfId="0" applyFont="1" applyAlignment="1">
      <alignment horizontal="center"/>
    </xf>
    <xf numFmtId="0" fontId="5" fillId="0" borderId="1" xfId="0" applyFont="1" applyBorder="1"/>
    <xf numFmtId="0" fontId="1" fillId="0" borderId="1" xfId="0" applyFont="1" applyBorder="1"/>
    <xf numFmtId="164" fontId="5" fillId="0" borderId="1" xfId="0" applyNumberFormat="1" applyFont="1" applyBorder="1"/>
    <xf numFmtId="0" fontId="9" fillId="0" borderId="0" xfId="0" applyFont="1"/>
    <xf numFmtId="164" fontId="5" fillId="0" borderId="0" xfId="0" applyNumberFormat="1" applyFont="1"/>
    <xf numFmtId="0" fontId="11" fillId="5" borderId="2" xfId="0" applyFont="1" applyFill="1" applyBorder="1"/>
    <xf numFmtId="0" fontId="6" fillId="5" borderId="2" xfId="0" applyFont="1" applyFill="1" applyBorder="1"/>
    <xf numFmtId="164" fontId="11" fillId="5" borderId="2" xfId="0" applyNumberFormat="1" applyFont="1" applyFill="1" applyBorder="1"/>
    <xf numFmtId="0" fontId="6" fillId="4" borderId="0" xfId="0" applyFont="1" applyFill="1"/>
    <xf numFmtId="164" fontId="6" fillId="0" borderId="0" xfId="0" applyNumberFormat="1" applyFont="1"/>
    <xf numFmtId="0" fontId="12" fillId="0" borderId="0" xfId="0" applyFont="1"/>
    <xf numFmtId="0" fontId="6" fillId="0" borderId="1" xfId="0" applyFont="1" applyBorder="1"/>
    <xf numFmtId="165" fontId="9" fillId="0" borderId="0" xfId="0" applyNumberFormat="1" applyFont="1"/>
    <xf numFmtId="165" fontId="5" fillId="0" borderId="0" xfId="0" applyNumberFormat="1" applyFont="1"/>
    <xf numFmtId="0" fontId="5" fillId="0" borderId="0" xfId="0" applyFont="1"/>
    <xf numFmtId="165" fontId="6" fillId="0" borderId="0" xfId="0" applyNumberFormat="1" applyFont="1"/>
    <xf numFmtId="0" fontId="13" fillId="0" borderId="0" xfId="0" applyFont="1"/>
    <xf numFmtId="164" fontId="10" fillId="0" borderId="0" xfId="0" applyNumberFormat="1" applyFont="1"/>
    <xf numFmtId="0" fontId="14" fillId="0" borderId="0" xfId="0" applyFont="1"/>
    <xf numFmtId="0" fontId="15" fillId="0" borderId="0" xfId="0" applyFont="1"/>
    <xf numFmtId="165" fontId="10" fillId="0" borderId="0" xfId="0" applyNumberFormat="1" applyFont="1"/>
    <xf numFmtId="166" fontId="10" fillId="3" borderId="0" xfId="0" applyNumberFormat="1" applyFont="1" applyFill="1"/>
    <xf numFmtId="166" fontId="6" fillId="0" borderId="0" xfId="0" applyNumberFormat="1" applyFont="1"/>
    <xf numFmtId="167" fontId="10" fillId="0" borderId="0" xfId="0" applyNumberFormat="1" applyFont="1"/>
    <xf numFmtId="165" fontId="10" fillId="3" borderId="0" xfId="0" applyNumberFormat="1" applyFont="1" applyFill="1"/>
    <xf numFmtId="168" fontId="10" fillId="3" borderId="0" xfId="0" applyNumberFormat="1" applyFont="1" applyFill="1"/>
    <xf numFmtId="168" fontId="10" fillId="0" borderId="0" xfId="0" applyNumberFormat="1" applyFont="1"/>
    <xf numFmtId="164" fontId="10" fillId="3" borderId="0" xfId="0" applyNumberFormat="1" applyFont="1" applyFill="1"/>
    <xf numFmtId="0" fontId="16" fillId="0" borderId="0" xfId="0" applyFont="1"/>
    <xf numFmtId="169" fontId="6" fillId="0" borderId="0" xfId="0" applyNumberFormat="1" applyFont="1"/>
    <xf numFmtId="169" fontId="5" fillId="0" borderId="0" xfId="0" applyNumberFormat="1" applyFont="1"/>
    <xf numFmtId="0" fontId="16" fillId="0" borderId="0" xfId="0" applyFont="1" applyAlignment="1">
      <alignment horizontal="right"/>
    </xf>
    <xf numFmtId="170" fontId="16" fillId="0" borderId="0" xfId="0" applyNumberFormat="1" applyFont="1"/>
    <xf numFmtId="0" fontId="17" fillId="0" borderId="3" xfId="1" applyBorder="1"/>
    <xf numFmtId="171" fontId="17" fillId="0" borderId="3" xfId="1" applyNumberFormat="1" applyBorder="1"/>
    <xf numFmtId="2" fontId="17" fillId="0" borderId="3" xfId="1" applyNumberFormat="1" applyBorder="1"/>
    <xf numFmtId="4" fontId="17" fillId="0" borderId="3" xfId="1" applyNumberFormat="1" applyBorder="1"/>
    <xf numFmtId="0" fontId="10" fillId="0" borderId="4" xfId="0" applyFont="1" applyBorder="1"/>
    <xf numFmtId="170" fontId="10" fillId="0" borderId="4" xfId="0" applyNumberFormat="1" applyFont="1" applyBorder="1"/>
    <xf numFmtId="165" fontId="10" fillId="0" borderId="4" xfId="0" applyNumberFormat="1" applyFont="1" applyBorder="1"/>
    <xf numFmtId="164" fontId="10" fillId="0" borderId="4" xfId="0" applyNumberFormat="1" applyFont="1" applyBorder="1"/>
    <xf numFmtId="0" fontId="1" fillId="0" borderId="4" xfId="0" applyFont="1" applyBorder="1"/>
    <xf numFmtId="0" fontId="1" fillId="5" borderId="1" xfId="0" applyFont="1" applyFill="1" applyBorder="1"/>
    <xf numFmtId="0" fontId="5" fillId="5" borderId="1" xfId="0" applyFont="1" applyFill="1" applyBorder="1"/>
    <xf numFmtId="165" fontId="5" fillId="5" borderId="1" xfId="0" applyNumberFormat="1" applyFont="1" applyFill="1" applyBorder="1"/>
    <xf numFmtId="164" fontId="5" fillId="5" borderId="1" xfId="0" applyNumberFormat="1" applyFont="1" applyFill="1" applyBorder="1"/>
    <xf numFmtId="164" fontId="1" fillId="0" borderId="0" xfId="0" applyNumberFormat="1" applyFont="1"/>
    <xf numFmtId="0" fontId="10" fillId="0" borderId="0" xfId="0" applyFont="1"/>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5A70"/>
      <rgbColor rgb="FFC0C0C0"/>
      <rgbColor rgb="FF808080"/>
      <rgbColor rgb="FF9999FF"/>
      <rgbColor rgb="FF993366"/>
      <rgbColor rgb="FFEEF3F5"/>
      <rgbColor rgb="FFD9E7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
  <sheetViews>
    <sheetView showGridLines="0" topLeftCell="A22" zoomScaleNormal="100" workbookViewId="0"/>
  </sheetViews>
  <sheetFormatPr defaultColWidth="8.6328125" defaultRowHeight="14.5" x14ac:dyDescent="0.35"/>
  <cols>
    <col min="1" max="1" width="3" customWidth="1"/>
    <col min="2" max="2" width="30" customWidth="1"/>
    <col min="3" max="3" width="110" customWidth="1"/>
  </cols>
  <sheetData>
    <row r="1" spans="1:3" ht="18" customHeight="1" x14ac:dyDescent="0.4">
      <c r="A1" s="2"/>
      <c r="B1" s="3" t="s">
        <v>0</v>
      </c>
      <c r="C1" s="2"/>
    </row>
    <row r="2" spans="1:3" x14ac:dyDescent="0.35">
      <c r="A2" s="2"/>
      <c r="B2" s="4" t="s">
        <v>1</v>
      </c>
      <c r="C2" s="2"/>
    </row>
    <row r="3" spans="1:3" x14ac:dyDescent="0.35">
      <c r="A3" s="2"/>
      <c r="B3" s="2"/>
      <c r="C3" s="2"/>
    </row>
    <row r="4" spans="1:3" x14ac:dyDescent="0.35">
      <c r="A4" s="2"/>
      <c r="B4" s="2"/>
      <c r="C4" s="2"/>
    </row>
    <row r="5" spans="1:3" x14ac:dyDescent="0.35">
      <c r="A5" s="2"/>
      <c r="B5" s="5" t="s">
        <v>2</v>
      </c>
      <c r="C5" s="6"/>
    </row>
    <row r="6" spans="1:3" ht="27.75" customHeight="1" x14ac:dyDescent="0.35">
      <c r="A6" s="2"/>
      <c r="B6" s="7" t="s">
        <v>3</v>
      </c>
      <c r="C6" s="8" t="s">
        <v>4</v>
      </c>
    </row>
    <row r="7" spans="1:3" ht="15" customHeight="1" x14ac:dyDescent="0.35">
      <c r="A7" s="2"/>
      <c r="B7" s="7" t="s">
        <v>5</v>
      </c>
      <c r="C7" s="8" t="s">
        <v>6</v>
      </c>
    </row>
    <row r="8" spans="1:3" ht="27.75" customHeight="1" x14ac:dyDescent="0.35">
      <c r="A8" s="2"/>
      <c r="B8" s="7" t="s">
        <v>7</v>
      </c>
      <c r="C8" s="8" t="s">
        <v>8</v>
      </c>
    </row>
    <row r="9" spans="1:3" x14ac:dyDescent="0.35">
      <c r="A9" s="2"/>
      <c r="B9" s="2"/>
      <c r="C9" s="2"/>
    </row>
    <row r="10" spans="1:3" x14ac:dyDescent="0.35">
      <c r="A10" s="2"/>
      <c r="B10" s="5" t="s">
        <v>9</v>
      </c>
      <c r="C10" s="6"/>
    </row>
    <row r="11" spans="1:3" ht="15" customHeight="1" x14ac:dyDescent="0.35">
      <c r="A11" s="2"/>
      <c r="B11" s="7" t="s">
        <v>10</v>
      </c>
      <c r="C11" s="8" t="s">
        <v>11</v>
      </c>
    </row>
    <row r="12" spans="1:3" ht="42" customHeight="1" x14ac:dyDescent="0.35">
      <c r="A12" s="2"/>
      <c r="B12" s="7" t="s">
        <v>12</v>
      </c>
      <c r="C12" s="8" t="s">
        <v>13</v>
      </c>
    </row>
    <row r="13" spans="1:3" ht="27.75" customHeight="1" x14ac:dyDescent="0.35">
      <c r="A13" s="2"/>
      <c r="B13" s="7" t="s">
        <v>14</v>
      </c>
      <c r="C13" s="8" t="s">
        <v>15</v>
      </c>
    </row>
    <row r="14" spans="1:3" ht="27.75" customHeight="1" x14ac:dyDescent="0.35">
      <c r="A14" s="2"/>
      <c r="B14" s="7" t="s">
        <v>16</v>
      </c>
      <c r="C14" s="8" t="s">
        <v>17</v>
      </c>
    </row>
    <row r="15" spans="1:3" ht="27.75" customHeight="1" x14ac:dyDescent="0.35">
      <c r="A15" s="2"/>
      <c r="B15" s="7" t="s">
        <v>18</v>
      </c>
      <c r="C15" s="8" t="s">
        <v>19</v>
      </c>
    </row>
    <row r="16" spans="1:3" ht="15" customHeight="1" x14ac:dyDescent="0.35">
      <c r="A16" s="2"/>
      <c r="B16" s="7" t="s">
        <v>20</v>
      </c>
      <c r="C16" s="8" t="s">
        <v>21</v>
      </c>
    </row>
    <row r="17" spans="1:3" x14ac:dyDescent="0.35">
      <c r="A17" s="2"/>
      <c r="B17" s="2"/>
      <c r="C17" s="2"/>
    </row>
    <row r="18" spans="1:3" x14ac:dyDescent="0.35">
      <c r="A18" s="2"/>
      <c r="B18" s="5" t="s">
        <v>22</v>
      </c>
      <c r="C18" s="6"/>
    </row>
    <row r="19" spans="1:3" ht="15" customHeight="1" x14ac:dyDescent="0.35">
      <c r="A19" s="2"/>
      <c r="B19" s="9" t="s">
        <v>23</v>
      </c>
      <c r="C19" s="8" t="s">
        <v>24</v>
      </c>
    </row>
    <row r="20" spans="1:3" ht="15" customHeight="1" x14ac:dyDescent="0.35">
      <c r="A20" s="2"/>
      <c r="B20" s="10" t="s">
        <v>25</v>
      </c>
      <c r="C20" s="8" t="s">
        <v>26</v>
      </c>
    </row>
    <row r="21" spans="1:3" ht="15" customHeight="1" x14ac:dyDescent="0.35">
      <c r="A21" s="2"/>
      <c r="B21" s="7" t="s">
        <v>27</v>
      </c>
      <c r="C21" s="8" t="s">
        <v>28</v>
      </c>
    </row>
    <row r="22" spans="1:3" ht="15" customHeight="1" x14ac:dyDescent="0.35">
      <c r="A22" s="2"/>
      <c r="B22" s="11" t="s">
        <v>29</v>
      </c>
      <c r="C22" s="8" t="s">
        <v>30</v>
      </c>
    </row>
    <row r="23" spans="1:3" ht="15" customHeight="1" x14ac:dyDescent="0.35">
      <c r="A23" s="2"/>
      <c r="B23" s="7" t="s">
        <v>31</v>
      </c>
      <c r="C23" s="8" t="s">
        <v>32</v>
      </c>
    </row>
    <row r="24" spans="1:3" x14ac:dyDescent="0.35">
      <c r="A24" s="2"/>
      <c r="B24" s="2"/>
      <c r="C24" s="2"/>
    </row>
    <row r="25" spans="1:3" x14ac:dyDescent="0.35">
      <c r="A25" s="2"/>
      <c r="B25" s="5" t="s">
        <v>33</v>
      </c>
      <c r="C25" s="6"/>
    </row>
    <row r="26" spans="1:3" ht="27.75" customHeight="1" x14ac:dyDescent="0.35">
      <c r="A26" s="2"/>
      <c r="B26" s="7" t="s">
        <v>34</v>
      </c>
      <c r="C26" s="8" t="s">
        <v>35</v>
      </c>
    </row>
    <row r="27" spans="1:3" ht="15" customHeight="1" x14ac:dyDescent="0.35">
      <c r="A27" s="2"/>
      <c r="B27" s="7" t="s">
        <v>36</v>
      </c>
      <c r="C27" s="8" t="s">
        <v>37</v>
      </c>
    </row>
    <row r="28" spans="1:3" ht="15" customHeight="1" x14ac:dyDescent="0.35">
      <c r="A28" s="2"/>
      <c r="B28" s="7" t="s">
        <v>38</v>
      </c>
      <c r="C28" s="8" t="s">
        <v>39</v>
      </c>
    </row>
    <row r="29" spans="1:3" ht="27.75" customHeight="1" x14ac:dyDescent="0.35">
      <c r="A29" s="2"/>
      <c r="B29" s="7" t="s">
        <v>40</v>
      </c>
      <c r="C29" s="8" t="s">
        <v>41</v>
      </c>
    </row>
    <row r="30" spans="1:3" ht="15" customHeight="1" x14ac:dyDescent="0.35">
      <c r="A30" s="2"/>
      <c r="B30" s="7" t="s">
        <v>42</v>
      </c>
      <c r="C30" s="8" t="s">
        <v>43</v>
      </c>
    </row>
    <row r="31" spans="1:3" x14ac:dyDescent="0.35">
      <c r="A31" s="2"/>
      <c r="B31" s="2"/>
      <c r="C31" s="2"/>
    </row>
    <row r="32" spans="1:3" x14ac:dyDescent="0.35">
      <c r="A32" s="2"/>
      <c r="B32" s="5" t="s">
        <v>44</v>
      </c>
      <c r="C32" s="6"/>
    </row>
    <row r="33" spans="1:3" ht="15" customHeight="1" x14ac:dyDescent="0.35">
      <c r="A33" s="2"/>
      <c r="B33" s="7" t="s">
        <v>45</v>
      </c>
      <c r="C33" s="8" t="s">
        <v>46</v>
      </c>
    </row>
    <row r="34" spans="1:3" ht="27.75" customHeight="1" x14ac:dyDescent="0.35">
      <c r="A34" s="2"/>
      <c r="B34" s="7" t="s">
        <v>47</v>
      </c>
      <c r="C34" s="8" t="s">
        <v>48</v>
      </c>
    </row>
    <row r="35" spans="1:3" ht="27.75" customHeight="1" x14ac:dyDescent="0.35">
      <c r="A35" s="2"/>
      <c r="B35" s="7" t="s">
        <v>49</v>
      </c>
      <c r="C35" s="8" t="s">
        <v>50</v>
      </c>
    </row>
    <row r="36" spans="1:3" ht="27.75" customHeight="1" x14ac:dyDescent="0.35">
      <c r="A36" s="2"/>
      <c r="B36" s="7" t="s">
        <v>51</v>
      </c>
      <c r="C36" s="8" t="s">
        <v>52</v>
      </c>
    </row>
    <row r="37" spans="1:3" ht="27.75" customHeight="1" x14ac:dyDescent="0.35">
      <c r="A37" s="2"/>
      <c r="B37" s="7" t="s">
        <v>53</v>
      </c>
      <c r="C37" s="8" t="s">
        <v>54</v>
      </c>
    </row>
    <row r="38" spans="1:3" ht="27.75" customHeight="1" x14ac:dyDescent="0.35">
      <c r="A38" s="2"/>
      <c r="B38" s="7" t="s">
        <v>55</v>
      </c>
      <c r="C38" s="8" t="s">
        <v>56</v>
      </c>
    </row>
    <row r="39" spans="1:3" ht="15" customHeight="1" x14ac:dyDescent="0.35">
      <c r="A39" s="2"/>
      <c r="B39" s="7" t="s">
        <v>57</v>
      </c>
      <c r="C39" s="8" t="s">
        <v>58</v>
      </c>
    </row>
    <row r="40" spans="1:3" ht="27.75" customHeight="1" x14ac:dyDescent="0.35">
      <c r="A40" s="2"/>
      <c r="B40" s="7" t="s">
        <v>59</v>
      </c>
      <c r="C40" s="8" t="s">
        <v>60</v>
      </c>
    </row>
    <row r="41" spans="1:3" ht="55.5" customHeight="1" x14ac:dyDescent="0.35">
      <c r="A41" s="2"/>
      <c r="B41" s="7" t="s">
        <v>61</v>
      </c>
      <c r="C41" s="8" t="s">
        <v>62</v>
      </c>
    </row>
    <row r="42" spans="1:3" ht="15" customHeight="1" x14ac:dyDescent="0.35">
      <c r="A42" s="2"/>
      <c r="B42" s="7" t="s">
        <v>63</v>
      </c>
      <c r="C42" s="8" t="s">
        <v>64</v>
      </c>
    </row>
    <row r="43" spans="1:3" ht="15" customHeight="1" x14ac:dyDescent="0.35">
      <c r="A43" s="2"/>
      <c r="B43" s="7" t="s">
        <v>65</v>
      </c>
      <c r="C43" s="8" t="s">
        <v>66</v>
      </c>
    </row>
    <row r="44" spans="1:3" ht="15" customHeight="1" x14ac:dyDescent="0.35">
      <c r="A44" s="2"/>
      <c r="B44" s="7" t="s">
        <v>67</v>
      </c>
      <c r="C44" s="8" t="s">
        <v>68</v>
      </c>
    </row>
    <row r="45" spans="1:3" ht="27.75" customHeight="1" x14ac:dyDescent="0.35">
      <c r="A45" s="2"/>
      <c r="B45" s="7" t="s">
        <v>69</v>
      </c>
      <c r="C45" s="8" t="s">
        <v>70</v>
      </c>
    </row>
    <row r="46" spans="1:3" ht="27.75" customHeight="1" x14ac:dyDescent="0.35">
      <c r="A46" s="2"/>
      <c r="B46" s="7" t="s">
        <v>18</v>
      </c>
      <c r="C46" s="8" t="s">
        <v>71</v>
      </c>
    </row>
    <row r="47" spans="1:3" x14ac:dyDescent="0.35">
      <c r="A47" s="2"/>
      <c r="B47" s="2"/>
      <c r="C47" s="2"/>
    </row>
    <row r="48" spans="1:3" x14ac:dyDescent="0.35">
      <c r="A48" s="2"/>
      <c r="B48" s="5" t="s">
        <v>72</v>
      </c>
      <c r="C48" s="6"/>
    </row>
    <row r="49" spans="1:3" ht="27.75" customHeight="1" x14ac:dyDescent="0.35">
      <c r="A49" s="2"/>
      <c r="B49" s="7" t="s">
        <v>73</v>
      </c>
      <c r="C49" s="8" t="s">
        <v>74</v>
      </c>
    </row>
    <row r="50" spans="1:3" ht="15" customHeight="1" x14ac:dyDescent="0.35">
      <c r="A50" s="2"/>
      <c r="B50" s="7" t="s">
        <v>51</v>
      </c>
      <c r="C50" s="8" t="s">
        <v>75</v>
      </c>
    </row>
    <row r="51" spans="1:3" ht="15" customHeight="1" x14ac:dyDescent="0.35">
      <c r="A51" s="2"/>
      <c r="B51" s="7" t="s">
        <v>76</v>
      </c>
      <c r="C51" s="8" t="s">
        <v>77</v>
      </c>
    </row>
    <row r="52" spans="1:3" ht="15" customHeight="1" x14ac:dyDescent="0.35">
      <c r="A52" s="2"/>
      <c r="B52" s="7" t="s">
        <v>78</v>
      </c>
      <c r="C52" s="8" t="s">
        <v>79</v>
      </c>
    </row>
    <row r="54" spans="1:3" x14ac:dyDescent="0.35">
      <c r="B54" s="5" t="s">
        <v>80</v>
      </c>
      <c r="C54" s="12"/>
    </row>
    <row r="55" spans="1:3" ht="42" customHeight="1" x14ac:dyDescent="0.35">
      <c r="B55" s="7" t="s">
        <v>81</v>
      </c>
      <c r="C55" s="8" t="s">
        <v>82</v>
      </c>
    </row>
    <row r="56" spans="1:3" ht="27.75" customHeight="1" x14ac:dyDescent="0.35">
      <c r="B56" s="7" t="s">
        <v>83</v>
      </c>
      <c r="C56" s="8" t="s">
        <v>84</v>
      </c>
    </row>
    <row r="57" spans="1:3" ht="27.75" customHeight="1" x14ac:dyDescent="0.35">
      <c r="B57" s="7" t="s">
        <v>85</v>
      </c>
      <c r="C57" s="8" t="s">
        <v>86</v>
      </c>
    </row>
    <row r="58" spans="1:3" ht="27.75" customHeight="1" x14ac:dyDescent="0.35">
      <c r="B58" s="7" t="s">
        <v>87</v>
      </c>
      <c r="C58" s="8" t="s">
        <v>88</v>
      </c>
    </row>
    <row r="59" spans="1:3" ht="27.75" customHeight="1" x14ac:dyDescent="0.35">
      <c r="B59" s="7" t="s">
        <v>89</v>
      </c>
      <c r="C59" s="8" t="s">
        <v>90</v>
      </c>
    </row>
    <row r="60" spans="1:3" ht="27.75" customHeight="1" x14ac:dyDescent="0.35">
      <c r="B60" s="7" t="s">
        <v>91</v>
      </c>
      <c r="C60" s="8" t="s">
        <v>92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99"/>
  <sheetViews>
    <sheetView showGridLines="0" tabSelected="1" zoomScale="113" zoomScaleNormal="113" workbookViewId="0">
      <pane xSplit="2" ySplit="4" topLeftCell="G5" activePane="bottomRight" state="frozen"/>
      <selection pane="topRight" activeCell="C1" sqref="C1"/>
      <selection pane="bottomLeft" activeCell="A31" sqref="A31"/>
      <selection pane="bottomRight" activeCell="O63" sqref="O63"/>
    </sheetView>
  </sheetViews>
  <sheetFormatPr defaultColWidth="8.6328125" defaultRowHeight="14.5" x14ac:dyDescent="0.35"/>
  <cols>
    <col min="1" max="1" width="46" customWidth="1"/>
    <col min="2" max="2" width="4" customWidth="1"/>
    <col min="3" max="15" width="11" customWidth="1"/>
    <col min="16" max="16" width="22" customWidth="1"/>
    <col min="17" max="17" width="14" customWidth="1"/>
  </cols>
  <sheetData>
    <row r="1" spans="1:17" ht="18" customHeight="1" x14ac:dyDescent="0.4">
      <c r="A1" s="3" t="s">
        <v>93</v>
      </c>
      <c r="B1" s="2"/>
      <c r="C1" s="2"/>
      <c r="D1" s="2"/>
      <c r="E1" s="2"/>
      <c r="F1" s="2"/>
      <c r="G1" s="2"/>
      <c r="H1" s="2"/>
      <c r="I1" s="2"/>
      <c r="J1" s="2"/>
      <c r="K1" s="2"/>
      <c r="L1" s="2"/>
      <c r="M1" s="2"/>
      <c r="N1" s="2"/>
      <c r="O1" s="2"/>
    </row>
    <row r="2" spans="1:17" x14ac:dyDescent="0.35">
      <c r="A2" s="4" t="s">
        <v>94</v>
      </c>
      <c r="B2" s="2"/>
      <c r="C2" s="2"/>
      <c r="D2" s="2"/>
      <c r="E2" s="2"/>
      <c r="F2" s="2"/>
      <c r="G2" s="2"/>
      <c r="H2" s="2"/>
      <c r="I2" s="2"/>
      <c r="J2" s="2"/>
      <c r="K2" s="2"/>
      <c r="L2" s="2"/>
      <c r="M2" s="2"/>
      <c r="N2" s="2"/>
      <c r="O2" s="2"/>
    </row>
    <row r="3" spans="1:17" x14ac:dyDescent="0.35">
      <c r="A3" s="2"/>
      <c r="B3" s="2"/>
      <c r="C3" s="2"/>
      <c r="D3" s="2"/>
      <c r="E3" s="2"/>
      <c r="F3" s="2"/>
      <c r="G3" s="2"/>
      <c r="H3" s="2"/>
      <c r="I3" s="2"/>
      <c r="J3" s="2"/>
      <c r="K3" s="2"/>
      <c r="L3" s="2"/>
      <c r="M3" s="2"/>
      <c r="N3" s="2"/>
      <c r="O3" s="2"/>
    </row>
    <row r="4" spans="1:17" ht="26" x14ac:dyDescent="0.35">
      <c r="A4" s="13" t="s">
        <v>95</v>
      </c>
      <c r="B4" s="13"/>
      <c r="C4" s="14" t="s">
        <v>96</v>
      </c>
      <c r="D4" s="14" t="s">
        <v>97</v>
      </c>
      <c r="E4" s="14" t="s">
        <v>98</v>
      </c>
      <c r="F4" s="14" t="s">
        <v>99</v>
      </c>
      <c r="G4" s="14" t="s">
        <v>100</v>
      </c>
      <c r="H4" s="14" t="s">
        <v>101</v>
      </c>
      <c r="I4" s="14" t="s">
        <v>102</v>
      </c>
      <c r="J4" s="14" t="s">
        <v>103</v>
      </c>
      <c r="K4" s="14" t="s">
        <v>104</v>
      </c>
      <c r="L4" s="14" t="s">
        <v>105</v>
      </c>
      <c r="M4" s="14" t="s">
        <v>106</v>
      </c>
      <c r="N4" s="14" t="s">
        <v>107</v>
      </c>
      <c r="O4" s="14" t="s">
        <v>108</v>
      </c>
      <c r="P4" s="14" t="s">
        <v>109</v>
      </c>
      <c r="Q4" s="14" t="s">
        <v>110</v>
      </c>
    </row>
    <row r="5" spans="1:17" x14ac:dyDescent="0.35">
      <c r="A5" s="15" t="s">
        <v>111</v>
      </c>
      <c r="B5" s="16"/>
      <c r="C5" s="16"/>
      <c r="D5" s="16"/>
      <c r="E5" s="16"/>
      <c r="F5" s="16"/>
      <c r="G5" s="16"/>
      <c r="H5" s="16"/>
      <c r="I5" s="16"/>
      <c r="J5" s="16"/>
      <c r="K5" s="16"/>
      <c r="L5" s="16"/>
      <c r="M5" s="16"/>
      <c r="N5" s="16"/>
      <c r="O5" s="16"/>
    </row>
    <row r="6" spans="1:17" x14ac:dyDescent="0.35">
      <c r="A6" s="17" t="s">
        <v>112</v>
      </c>
      <c r="B6" s="2"/>
      <c r="C6" s="18">
        <f>Calculations!C19</f>
        <v>0</v>
      </c>
      <c r="D6" s="18">
        <f>Calculations!D19</f>
        <v>0</v>
      </c>
      <c r="E6" s="18">
        <f>Calculations!E19</f>
        <v>0</v>
      </c>
      <c r="F6" s="18">
        <f>Calculations!F19</f>
        <v>0</v>
      </c>
      <c r="G6" s="18">
        <f>Calculations!G19</f>
        <v>0</v>
      </c>
      <c r="H6" s="18">
        <f>Calculations!H19</f>
        <v>0</v>
      </c>
      <c r="I6" s="18">
        <f>Calculations!I19</f>
        <v>179.48699999999999</v>
      </c>
      <c r="J6" s="18">
        <f>Calculations!J19</f>
        <v>269.23050000000001</v>
      </c>
      <c r="K6" s="18">
        <f>Calculations!K19</f>
        <v>358.97399999999999</v>
      </c>
      <c r="L6" s="18">
        <f>Calculations!L19</f>
        <v>448.71749999999997</v>
      </c>
      <c r="M6" s="18">
        <f>Calculations!M19</f>
        <v>538.46100000000001</v>
      </c>
      <c r="N6" s="18">
        <f>Calculations!N19</f>
        <v>629.28250000000003</v>
      </c>
      <c r="O6" s="18">
        <f>Calculations!O19</f>
        <v>2424.1525000000001</v>
      </c>
      <c r="P6" s="19" t="s">
        <v>113</v>
      </c>
      <c r="Q6" s="19" t="s">
        <v>114</v>
      </c>
    </row>
    <row r="7" spans="1:17" x14ac:dyDescent="0.35">
      <c r="A7" s="17" t="s">
        <v>115</v>
      </c>
      <c r="B7" s="2"/>
      <c r="C7" s="18">
        <f>Calculations!C20</f>
        <v>0</v>
      </c>
      <c r="D7" s="18">
        <f>Calculations!D20</f>
        <v>0</v>
      </c>
      <c r="E7" s="18">
        <f>Calculations!E20</f>
        <v>0</v>
      </c>
      <c r="F7" s="18">
        <f>Calculations!F20</f>
        <v>0</v>
      </c>
      <c r="G7" s="18">
        <f>Calculations!G20</f>
        <v>0</v>
      </c>
      <c r="H7" s="18">
        <f>Calculations!H20</f>
        <v>0</v>
      </c>
      <c r="I7" s="18">
        <f>Calculations!I20</f>
        <v>298.70099999999996</v>
      </c>
      <c r="J7" s="18">
        <f>Calculations!J20</f>
        <v>448.05150000000003</v>
      </c>
      <c r="K7" s="18">
        <f>Calculations!K20</f>
        <v>597.40199999999993</v>
      </c>
      <c r="L7" s="18">
        <f>Calculations!L20</f>
        <v>746.75250000000005</v>
      </c>
      <c r="M7" s="18">
        <f>Calculations!M20</f>
        <v>896.10300000000007</v>
      </c>
      <c r="N7" s="18">
        <f>Calculations!N20</f>
        <v>1047.2474999999999</v>
      </c>
      <c r="O7" s="18">
        <f>Calculations!O20</f>
        <v>4034.2575000000002</v>
      </c>
      <c r="P7" s="19" t="s">
        <v>113</v>
      </c>
      <c r="Q7" s="19" t="s">
        <v>114</v>
      </c>
    </row>
    <row r="8" spans="1:17" x14ac:dyDescent="0.35">
      <c r="A8" s="17" t="s">
        <v>116</v>
      </c>
      <c r="B8" s="2"/>
      <c r="C8" s="18">
        <f>Calculations!C28</f>
        <v>0</v>
      </c>
      <c r="D8" s="18">
        <f>Calculations!D28</f>
        <v>0</v>
      </c>
      <c r="E8" s="18">
        <f>Calculations!E28</f>
        <v>0</v>
      </c>
      <c r="F8" s="18">
        <f>Calculations!F28</f>
        <v>0</v>
      </c>
      <c r="G8" s="18">
        <f>Calculations!G28</f>
        <v>0</v>
      </c>
      <c r="H8" s="18">
        <f>Calculations!H28</f>
        <v>0</v>
      </c>
      <c r="I8" s="18">
        <f>Calculations!I28</f>
        <v>101.70486000000001</v>
      </c>
      <c r="J8" s="18">
        <f>Calculations!J28</f>
        <v>152.55728999999999</v>
      </c>
      <c r="K8" s="18">
        <f>Calculations!K28</f>
        <v>203.40972000000002</v>
      </c>
      <c r="L8" s="18">
        <f>Calculations!L28</f>
        <v>254.26215000000002</v>
      </c>
      <c r="M8" s="18">
        <f>Calculations!M28</f>
        <v>305.11457999999999</v>
      </c>
      <c r="N8" s="18">
        <f>Calculations!N28</f>
        <v>356.57785000000001</v>
      </c>
      <c r="O8" s="18">
        <f>Calculations!O28</f>
        <v>1373.6264500000002</v>
      </c>
      <c r="P8" s="19" t="s">
        <v>113</v>
      </c>
      <c r="Q8" s="19" t="s">
        <v>114</v>
      </c>
    </row>
    <row r="9" spans="1:17" x14ac:dyDescent="0.35">
      <c r="A9" s="17" t="s">
        <v>117</v>
      </c>
      <c r="B9" s="2"/>
      <c r="C9" s="18">
        <f>Calculations!C30</f>
        <v>0</v>
      </c>
      <c r="D9" s="18">
        <f>Calculations!D30</f>
        <v>0</v>
      </c>
      <c r="E9" s="18">
        <f>Calculations!E30</f>
        <v>0</v>
      </c>
      <c r="F9" s="18">
        <f>Calculations!F30</f>
        <v>0</v>
      </c>
      <c r="G9" s="18">
        <f>Calculations!G30</f>
        <v>0</v>
      </c>
      <c r="H9" s="18">
        <f>Calculations!H30</f>
        <v>0</v>
      </c>
      <c r="I9" s="18">
        <f>Calculations!I30</f>
        <v>19.020960000000006</v>
      </c>
      <c r="J9" s="18">
        <f>Calculations!J30</f>
        <v>28.53144</v>
      </c>
      <c r="K9" s="18">
        <f>Calculations!K30</f>
        <v>38.041920000000012</v>
      </c>
      <c r="L9" s="18">
        <f>Calculations!L30</f>
        <v>47.552399999999999</v>
      </c>
      <c r="M9" s="18">
        <f>Calculations!M30</f>
        <v>57.06288</v>
      </c>
      <c r="N9" s="18">
        <f>Calculations!N30</f>
        <v>66.687600000000003</v>
      </c>
      <c r="O9" s="18">
        <f>Calculations!O30</f>
        <v>256.8972</v>
      </c>
      <c r="P9" s="19" t="s">
        <v>113</v>
      </c>
      <c r="Q9" s="19" t="s">
        <v>114</v>
      </c>
    </row>
    <row r="10" spans="1:17" x14ac:dyDescent="0.35">
      <c r="A10" s="20" t="s">
        <v>118</v>
      </c>
      <c r="B10" s="21"/>
      <c r="C10" s="22">
        <f t="shared" ref="C10:O10" si="0">SUM(C6:C9)</f>
        <v>0</v>
      </c>
      <c r="D10" s="22">
        <f t="shared" si="0"/>
        <v>0</v>
      </c>
      <c r="E10" s="22">
        <f t="shared" si="0"/>
        <v>0</v>
      </c>
      <c r="F10" s="22">
        <f t="shared" si="0"/>
        <v>0</v>
      </c>
      <c r="G10" s="22">
        <f t="shared" si="0"/>
        <v>0</v>
      </c>
      <c r="H10" s="22">
        <f t="shared" si="0"/>
        <v>0</v>
      </c>
      <c r="I10" s="22">
        <f t="shared" si="0"/>
        <v>598.9138200000001</v>
      </c>
      <c r="J10" s="22">
        <f t="shared" si="0"/>
        <v>898.37072999999998</v>
      </c>
      <c r="K10" s="22">
        <f t="shared" si="0"/>
        <v>1197.8276400000002</v>
      </c>
      <c r="L10" s="22">
        <f t="shared" si="0"/>
        <v>1497.2845500000001</v>
      </c>
      <c r="M10" s="22">
        <f t="shared" si="0"/>
        <v>1796.74146</v>
      </c>
      <c r="N10" s="22">
        <f t="shared" si="0"/>
        <v>2099.7954500000001</v>
      </c>
      <c r="O10" s="22">
        <f t="shared" si="0"/>
        <v>8088.9336499999999</v>
      </c>
    </row>
    <row r="11" spans="1:17" x14ac:dyDescent="0.35">
      <c r="A11" s="2"/>
      <c r="B11" s="2"/>
      <c r="C11" s="2"/>
      <c r="D11" s="2"/>
      <c r="E11" s="2"/>
      <c r="F11" s="2"/>
      <c r="G11" s="2"/>
      <c r="H11" s="2"/>
      <c r="I11" s="2"/>
      <c r="J11" s="2"/>
      <c r="K11" s="2"/>
      <c r="L11" s="2"/>
      <c r="M11" s="2"/>
      <c r="N11" s="2"/>
      <c r="O11" s="2"/>
    </row>
    <row r="12" spans="1:17" x14ac:dyDescent="0.35">
      <c r="A12" s="15" t="s">
        <v>119</v>
      </c>
      <c r="B12" s="16"/>
      <c r="C12" s="16"/>
      <c r="D12" s="16"/>
      <c r="E12" s="16"/>
      <c r="F12" s="16"/>
      <c r="G12" s="16"/>
      <c r="H12" s="16"/>
      <c r="I12" s="16"/>
      <c r="J12" s="16"/>
      <c r="K12" s="16"/>
      <c r="L12" s="16"/>
      <c r="M12" s="16"/>
      <c r="N12" s="16"/>
      <c r="O12" s="16"/>
    </row>
    <row r="13" spans="1:17" x14ac:dyDescent="0.35">
      <c r="A13" s="17" t="s">
        <v>120</v>
      </c>
      <c r="B13" s="2"/>
      <c r="C13" s="18">
        <f>Calculations!C36</f>
        <v>0</v>
      </c>
      <c r="D13" s="18">
        <f>Calculations!D36</f>
        <v>0</v>
      </c>
      <c r="E13" s="18">
        <f>Calculations!E36</f>
        <v>0</v>
      </c>
      <c r="F13" s="18">
        <f>Calculations!F36</f>
        <v>0</v>
      </c>
      <c r="G13" s="18">
        <f>Calculations!G36</f>
        <v>0</v>
      </c>
      <c r="H13" s="18">
        <f>Calculations!H36</f>
        <v>0</v>
      </c>
      <c r="I13" s="18">
        <f>Calculations!I36</f>
        <v>33.300000000000004</v>
      </c>
      <c r="J13" s="18">
        <f>Calculations!J36</f>
        <v>66.600000000000009</v>
      </c>
      <c r="K13" s="18">
        <f>Calculations!K36</f>
        <v>99.9</v>
      </c>
      <c r="L13" s="18">
        <f>Calculations!L36</f>
        <v>133.20000000000002</v>
      </c>
      <c r="M13" s="18">
        <f>Calculations!M36</f>
        <v>166.5</v>
      </c>
      <c r="N13" s="18">
        <f>Calculations!N36</f>
        <v>200</v>
      </c>
      <c r="O13" s="18">
        <f>Calculations!O36</f>
        <v>699.5</v>
      </c>
      <c r="P13" s="19" t="s">
        <v>113</v>
      </c>
      <c r="Q13" s="19" t="s">
        <v>114</v>
      </c>
    </row>
    <row r="14" spans="1:17" x14ac:dyDescent="0.35">
      <c r="A14" s="17" t="s">
        <v>121</v>
      </c>
      <c r="B14" s="2"/>
      <c r="C14" s="18">
        <f>Calculations!C37</f>
        <v>0</v>
      </c>
      <c r="D14" s="18">
        <f>Calculations!D37</f>
        <v>0</v>
      </c>
      <c r="E14" s="18">
        <f>Calculations!E37</f>
        <v>0</v>
      </c>
      <c r="F14" s="18">
        <f>Calculations!F37</f>
        <v>0</v>
      </c>
      <c r="G14" s="18">
        <f>Calculations!G37</f>
        <v>0</v>
      </c>
      <c r="H14" s="18">
        <f>Calculations!H37</f>
        <v>0</v>
      </c>
      <c r="I14" s="18">
        <f>Calculations!I37</f>
        <v>66.600000000000009</v>
      </c>
      <c r="J14" s="18">
        <f>Calculations!J37</f>
        <v>133.20000000000002</v>
      </c>
      <c r="K14" s="18">
        <f>Calculations!K37</f>
        <v>199.8</v>
      </c>
      <c r="L14" s="18">
        <f>Calculations!L37</f>
        <v>266.40000000000003</v>
      </c>
      <c r="M14" s="18">
        <f>Calculations!M37</f>
        <v>333</v>
      </c>
      <c r="N14" s="18">
        <f>Calculations!N37</f>
        <v>400</v>
      </c>
      <c r="O14" s="18">
        <f>Calculations!O37</f>
        <v>1399</v>
      </c>
      <c r="P14" s="19" t="s">
        <v>113</v>
      </c>
      <c r="Q14" s="19" t="s">
        <v>114</v>
      </c>
    </row>
    <row r="15" spans="1:17" x14ac:dyDescent="0.35">
      <c r="A15" s="17" t="s">
        <v>57</v>
      </c>
      <c r="B15" s="2"/>
      <c r="C15" s="18">
        <f>Calculations!C39</f>
        <v>0</v>
      </c>
      <c r="D15" s="18">
        <f>Calculations!D39</f>
        <v>0</v>
      </c>
      <c r="E15" s="18">
        <f>Calculations!E39</f>
        <v>0</v>
      </c>
      <c r="F15" s="18">
        <f>Calculations!F39</f>
        <v>0</v>
      </c>
      <c r="G15" s="18">
        <f>Calculations!G39</f>
        <v>0</v>
      </c>
      <c r="H15" s="18">
        <f>Calculations!H39</f>
        <v>0</v>
      </c>
      <c r="I15" s="18">
        <f>Calculations!I39</f>
        <v>0</v>
      </c>
      <c r="J15" s="18">
        <f>Calculations!J39</f>
        <v>0</v>
      </c>
      <c r="K15" s="18">
        <f>Calculations!K39</f>
        <v>0</v>
      </c>
      <c r="L15" s="18">
        <f>Calculations!L39</f>
        <v>0</v>
      </c>
      <c r="M15" s="18">
        <f>Calculations!M39</f>
        <v>0</v>
      </c>
      <c r="N15" s="18">
        <f>Calculations!N39</f>
        <v>0</v>
      </c>
      <c r="O15" s="18">
        <f>Calculations!O39</f>
        <v>0</v>
      </c>
      <c r="P15" s="19" t="s">
        <v>113</v>
      </c>
      <c r="Q15" s="19" t="s">
        <v>114</v>
      </c>
    </row>
    <row r="16" spans="1:17" x14ac:dyDescent="0.35">
      <c r="A16" s="20" t="s">
        <v>122</v>
      </c>
      <c r="B16" s="21"/>
      <c r="C16" s="22">
        <f t="shared" ref="C16:O16" si="1">SUM(C13:C15)</f>
        <v>0</v>
      </c>
      <c r="D16" s="22">
        <f t="shared" si="1"/>
        <v>0</v>
      </c>
      <c r="E16" s="22">
        <f t="shared" si="1"/>
        <v>0</v>
      </c>
      <c r="F16" s="22">
        <f t="shared" si="1"/>
        <v>0</v>
      </c>
      <c r="G16" s="22">
        <f t="shared" si="1"/>
        <v>0</v>
      </c>
      <c r="H16" s="22">
        <f t="shared" si="1"/>
        <v>0</v>
      </c>
      <c r="I16" s="22">
        <f t="shared" si="1"/>
        <v>99.9</v>
      </c>
      <c r="J16" s="22">
        <f t="shared" si="1"/>
        <v>199.8</v>
      </c>
      <c r="K16" s="22">
        <f t="shared" si="1"/>
        <v>299.70000000000005</v>
      </c>
      <c r="L16" s="22">
        <f t="shared" si="1"/>
        <v>399.6</v>
      </c>
      <c r="M16" s="22">
        <f t="shared" si="1"/>
        <v>499.5</v>
      </c>
      <c r="N16" s="22">
        <f t="shared" si="1"/>
        <v>600</v>
      </c>
      <c r="O16" s="22">
        <f t="shared" si="1"/>
        <v>2098.5</v>
      </c>
    </row>
    <row r="17" spans="1:17" x14ac:dyDescent="0.35">
      <c r="A17" s="2"/>
      <c r="B17" s="2"/>
      <c r="C17" s="2"/>
      <c r="D17" s="2"/>
      <c r="E17" s="2"/>
      <c r="F17" s="2"/>
      <c r="G17" s="2"/>
      <c r="H17" s="2"/>
      <c r="I17" s="2"/>
      <c r="J17" s="2"/>
      <c r="K17" s="2"/>
      <c r="L17" s="2"/>
      <c r="M17" s="2"/>
      <c r="N17" s="2"/>
      <c r="O17" s="2"/>
    </row>
    <row r="18" spans="1:17" x14ac:dyDescent="0.35">
      <c r="A18" s="15" t="s">
        <v>123</v>
      </c>
      <c r="B18" s="16"/>
      <c r="C18" s="16"/>
      <c r="D18" s="16"/>
      <c r="E18" s="16"/>
      <c r="F18" s="16"/>
      <c r="G18" s="16"/>
      <c r="H18" s="16"/>
      <c r="I18" s="16"/>
      <c r="J18" s="16"/>
      <c r="K18" s="16"/>
      <c r="L18" s="16"/>
      <c r="M18" s="16"/>
      <c r="N18" s="16"/>
      <c r="O18" s="16"/>
    </row>
    <row r="19" spans="1:17" x14ac:dyDescent="0.35">
      <c r="A19" s="17" t="s">
        <v>124</v>
      </c>
      <c r="B19" s="2"/>
      <c r="C19" s="18">
        <f>Calculations!C49</f>
        <v>0</v>
      </c>
      <c r="D19" s="18">
        <f>Calculations!D49</f>
        <v>0</v>
      </c>
      <c r="E19" s="18">
        <f>Calculations!E49</f>
        <v>0</v>
      </c>
      <c r="F19" s="18">
        <f>Calculations!F49</f>
        <v>0</v>
      </c>
      <c r="G19" s="18">
        <f>Calculations!G49</f>
        <v>0</v>
      </c>
      <c r="H19" s="18">
        <f>Calculations!H49</f>
        <v>0</v>
      </c>
      <c r="I19" s="18">
        <f>Calculations!I49</f>
        <v>711.28800000000001</v>
      </c>
      <c r="J19" s="18">
        <f>Calculations!J49</f>
        <v>1422.576</v>
      </c>
      <c r="K19" s="18">
        <f>Calculations!K49</f>
        <v>2133.864</v>
      </c>
      <c r="L19" s="18">
        <f>Calculations!L49</f>
        <v>2845.152</v>
      </c>
      <c r="M19" s="18">
        <f>Calculations!M49</f>
        <v>3556.44</v>
      </c>
      <c r="N19" s="18">
        <f>Calculations!N49</f>
        <v>4272</v>
      </c>
      <c r="O19" s="18">
        <f>Calculations!O49</f>
        <v>14941.32</v>
      </c>
      <c r="P19" s="19" t="s">
        <v>125</v>
      </c>
      <c r="Q19" s="19" t="s">
        <v>114</v>
      </c>
    </row>
    <row r="20" spans="1:17" x14ac:dyDescent="0.35">
      <c r="A20" s="17" t="s">
        <v>126</v>
      </c>
      <c r="B20" s="2"/>
      <c r="C20" s="18">
        <f>Calculations!C50</f>
        <v>0</v>
      </c>
      <c r="D20" s="18">
        <f>Calculations!D50</f>
        <v>0</v>
      </c>
      <c r="E20" s="18">
        <f>Calculations!E50</f>
        <v>0</v>
      </c>
      <c r="F20" s="18">
        <f>Calculations!F50</f>
        <v>0</v>
      </c>
      <c r="G20" s="18">
        <f>Calculations!G50</f>
        <v>0</v>
      </c>
      <c r="H20" s="18">
        <f>Calculations!H50</f>
        <v>0</v>
      </c>
      <c r="I20" s="18">
        <f>Calculations!I50</f>
        <v>1192.806</v>
      </c>
      <c r="J20" s="18">
        <f>Calculations!J50</f>
        <v>2385.6120000000001</v>
      </c>
      <c r="K20" s="18">
        <f>Calculations!K50</f>
        <v>3578.4180000000001</v>
      </c>
      <c r="L20" s="18">
        <f>Calculations!L50</f>
        <v>4771.2240000000002</v>
      </c>
      <c r="M20" s="18">
        <f>Calculations!M50</f>
        <v>5964.03</v>
      </c>
      <c r="N20" s="18">
        <f>Calculations!N50</f>
        <v>7164</v>
      </c>
      <c r="O20" s="18">
        <f>Calculations!O50</f>
        <v>25056.09</v>
      </c>
      <c r="P20" s="19" t="s">
        <v>125</v>
      </c>
      <c r="Q20" s="19" t="s">
        <v>114</v>
      </c>
    </row>
    <row r="21" spans="1:17" x14ac:dyDescent="0.35">
      <c r="A21" s="17" t="s">
        <v>127</v>
      </c>
      <c r="B21" s="2"/>
      <c r="C21" s="18">
        <f>Calculations!C51</f>
        <v>0</v>
      </c>
      <c r="D21" s="18">
        <f>Calculations!D51</f>
        <v>0</v>
      </c>
      <c r="E21" s="18">
        <f>Calculations!E51</f>
        <v>0</v>
      </c>
      <c r="F21" s="18">
        <f>Calculations!F51</f>
        <v>0</v>
      </c>
      <c r="G21" s="18">
        <f>Calculations!G51</f>
        <v>0</v>
      </c>
      <c r="H21" s="18">
        <f>Calculations!H51</f>
        <v>0</v>
      </c>
      <c r="I21" s="18">
        <f>Calculations!I51</f>
        <v>37.202760000000005</v>
      </c>
      <c r="J21" s="18">
        <f>Calculations!J51</f>
        <v>74.40552000000001</v>
      </c>
      <c r="K21" s="18">
        <f>Calculations!K51</f>
        <v>111.60828000000001</v>
      </c>
      <c r="L21" s="18">
        <f>Calculations!L51</f>
        <v>148.81104000000002</v>
      </c>
      <c r="M21" s="18">
        <f>Calculations!M51</f>
        <v>186.01379999999997</v>
      </c>
      <c r="N21" s="18">
        <f>Calculations!N51</f>
        <v>223.44</v>
      </c>
      <c r="O21" s="18">
        <f>Calculations!O51</f>
        <v>781.48139999999989</v>
      </c>
      <c r="P21" s="19" t="s">
        <v>125</v>
      </c>
      <c r="Q21" s="19" t="s">
        <v>114</v>
      </c>
    </row>
    <row r="22" spans="1:17" x14ac:dyDescent="0.35">
      <c r="A22" s="17" t="s">
        <v>128</v>
      </c>
      <c r="B22" s="2"/>
      <c r="C22" s="18">
        <f>Calculations!C52</f>
        <v>0</v>
      </c>
      <c r="D22" s="18">
        <f>Calculations!D52</f>
        <v>0</v>
      </c>
      <c r="E22" s="18">
        <f>Calculations!E52</f>
        <v>0</v>
      </c>
      <c r="F22" s="18">
        <f>Calculations!F52</f>
        <v>0</v>
      </c>
      <c r="G22" s="18">
        <f>Calculations!G52</f>
        <v>0</v>
      </c>
      <c r="H22" s="18">
        <f>Calculations!H52</f>
        <v>0</v>
      </c>
      <c r="I22" s="18">
        <f>Calculations!I52</f>
        <v>8.2377540000000007</v>
      </c>
      <c r="J22" s="18">
        <f>Calculations!J52</f>
        <v>16.475508000000001</v>
      </c>
      <c r="K22" s="18">
        <f>Calculations!K52</f>
        <v>24.713262</v>
      </c>
      <c r="L22" s="18">
        <f>Calculations!L52</f>
        <v>32.951016000000003</v>
      </c>
      <c r="M22" s="18">
        <f>Calculations!M52</f>
        <v>41.188769999999998</v>
      </c>
      <c r="N22" s="18">
        <f>Calculations!N52</f>
        <v>49.475999999999999</v>
      </c>
      <c r="O22" s="18">
        <f>Calculations!O52</f>
        <v>173.04231000000001</v>
      </c>
      <c r="P22" s="19" t="s">
        <v>125</v>
      </c>
      <c r="Q22" s="19" t="s">
        <v>114</v>
      </c>
    </row>
    <row r="23" spans="1:17" x14ac:dyDescent="0.35">
      <c r="A23" s="17" t="s">
        <v>63</v>
      </c>
      <c r="B23" s="2"/>
      <c r="C23" s="18">
        <f>Calculations!C54</f>
        <v>0</v>
      </c>
      <c r="D23" s="18">
        <f>Calculations!D54</f>
        <v>0</v>
      </c>
      <c r="E23" s="18">
        <f>Calculations!E54</f>
        <v>0</v>
      </c>
      <c r="F23" s="18">
        <f>Calculations!F54</f>
        <v>0</v>
      </c>
      <c r="G23" s="18">
        <f>Calculations!G54</f>
        <v>0</v>
      </c>
      <c r="H23" s="18">
        <f>Calculations!H54</f>
        <v>0</v>
      </c>
      <c r="I23" s="18">
        <f>Calculations!I54</f>
        <v>0</v>
      </c>
      <c r="J23" s="18">
        <f>Calculations!J54</f>
        <v>0</v>
      </c>
      <c r="K23" s="18">
        <f>Calculations!K54</f>
        <v>0</v>
      </c>
      <c r="L23" s="18">
        <f>Calculations!L54</f>
        <v>0</v>
      </c>
      <c r="M23" s="18">
        <f>Calculations!M54</f>
        <v>0</v>
      </c>
      <c r="N23" s="18">
        <f>Calculations!N54</f>
        <v>0</v>
      </c>
      <c r="O23" s="18">
        <f>Calculations!O54</f>
        <v>0</v>
      </c>
      <c r="P23" s="19" t="s">
        <v>125</v>
      </c>
      <c r="Q23" s="19" t="s">
        <v>114</v>
      </c>
    </row>
    <row r="24" spans="1:17" x14ac:dyDescent="0.35">
      <c r="A24" s="17" t="s">
        <v>129</v>
      </c>
      <c r="B24" s="2"/>
      <c r="C24" s="18">
        <f>Calculations!C56</f>
        <v>0</v>
      </c>
      <c r="D24" s="18">
        <f>Calculations!D56</f>
        <v>0</v>
      </c>
      <c r="E24" s="18">
        <f>Calculations!E56</f>
        <v>0</v>
      </c>
      <c r="F24" s="18">
        <f>Calculations!F56</f>
        <v>0</v>
      </c>
      <c r="G24" s="18">
        <f>Calculations!G56</f>
        <v>0</v>
      </c>
      <c r="H24" s="18">
        <f>Calculations!H56</f>
        <v>0</v>
      </c>
      <c r="I24" s="18">
        <f>Calculations!I56</f>
        <v>0</v>
      </c>
      <c r="J24" s="18">
        <f>Calculations!J56</f>
        <v>0</v>
      </c>
      <c r="K24" s="18">
        <f>Calculations!K56</f>
        <v>0</v>
      </c>
      <c r="L24" s="18">
        <f>Calculations!L56</f>
        <v>0</v>
      </c>
      <c r="M24" s="18">
        <f>Calculations!M56</f>
        <v>0</v>
      </c>
      <c r="N24" s="18">
        <f>Calculations!N56</f>
        <v>0</v>
      </c>
      <c r="O24" s="18">
        <f>Calculations!O56</f>
        <v>0</v>
      </c>
      <c r="P24" s="19" t="s">
        <v>125</v>
      </c>
      <c r="Q24" s="19" t="s">
        <v>114</v>
      </c>
    </row>
    <row r="25" spans="1:17" x14ac:dyDescent="0.35">
      <c r="A25" s="20" t="s">
        <v>130</v>
      </c>
      <c r="B25" s="21"/>
      <c r="C25" s="22">
        <f t="shared" ref="C25:O25" si="2">SUM(C19:C24)</f>
        <v>0</v>
      </c>
      <c r="D25" s="22">
        <f t="shared" si="2"/>
        <v>0</v>
      </c>
      <c r="E25" s="22">
        <f t="shared" si="2"/>
        <v>0</v>
      </c>
      <c r="F25" s="22">
        <f t="shared" si="2"/>
        <v>0</v>
      </c>
      <c r="G25" s="22">
        <f t="shared" si="2"/>
        <v>0</v>
      </c>
      <c r="H25" s="22">
        <f t="shared" si="2"/>
        <v>0</v>
      </c>
      <c r="I25" s="22">
        <f t="shared" si="2"/>
        <v>1949.5345139999999</v>
      </c>
      <c r="J25" s="22">
        <f t="shared" si="2"/>
        <v>3899.0690279999999</v>
      </c>
      <c r="K25" s="22">
        <f t="shared" si="2"/>
        <v>5848.6035420000007</v>
      </c>
      <c r="L25" s="22">
        <f t="shared" si="2"/>
        <v>7798.1380559999998</v>
      </c>
      <c r="M25" s="22">
        <f t="shared" si="2"/>
        <v>9747.6725700000006</v>
      </c>
      <c r="N25" s="22">
        <f t="shared" si="2"/>
        <v>11708.916000000001</v>
      </c>
      <c r="O25" s="22">
        <f t="shared" si="2"/>
        <v>40951.933709999998</v>
      </c>
    </row>
    <row r="26" spans="1:17" x14ac:dyDescent="0.35">
      <c r="A26" s="2"/>
      <c r="B26" s="2"/>
      <c r="C26" s="2"/>
      <c r="D26" s="2"/>
      <c r="E26" s="2"/>
      <c r="F26" s="2"/>
      <c r="G26" s="2"/>
      <c r="H26" s="2"/>
      <c r="I26" s="2"/>
      <c r="J26" s="2"/>
      <c r="K26" s="2"/>
      <c r="L26" s="2"/>
      <c r="M26" s="2"/>
      <c r="N26" s="2"/>
      <c r="O26" s="2"/>
    </row>
    <row r="27" spans="1:17" x14ac:dyDescent="0.35">
      <c r="A27" s="15" t="s">
        <v>131</v>
      </c>
      <c r="B27" s="16"/>
      <c r="C27" s="16"/>
      <c r="D27" s="16"/>
      <c r="E27" s="16"/>
      <c r="F27" s="16"/>
      <c r="G27" s="16"/>
      <c r="H27" s="16"/>
      <c r="I27" s="16"/>
      <c r="J27" s="16"/>
      <c r="K27" s="16"/>
      <c r="L27" s="16"/>
      <c r="M27" s="16"/>
      <c r="N27" s="16"/>
      <c r="O27" s="16"/>
    </row>
    <row r="28" spans="1:17" x14ac:dyDescent="0.35">
      <c r="A28" s="17" t="s">
        <v>132</v>
      </c>
      <c r="B28" s="2"/>
      <c r="C28" s="18">
        <f>Calculations!C60</f>
        <v>80</v>
      </c>
      <c r="D28" s="18">
        <f>Calculations!D60</f>
        <v>80</v>
      </c>
      <c r="E28" s="18">
        <f>Calculations!E60</f>
        <v>80</v>
      </c>
      <c r="F28" s="18">
        <f>Calculations!F60</f>
        <v>80</v>
      </c>
      <c r="G28" s="18">
        <f>Calculations!G60</f>
        <v>240</v>
      </c>
      <c r="H28" s="18">
        <f>Calculations!H60</f>
        <v>240</v>
      </c>
      <c r="I28" s="18">
        <f>Calculations!I60</f>
        <v>240</v>
      </c>
      <c r="J28" s="18">
        <f>Calculations!J60</f>
        <v>240</v>
      </c>
      <c r="K28" s="18">
        <f>Calculations!K60</f>
        <v>240</v>
      </c>
      <c r="L28" s="18">
        <f>Calculations!L60</f>
        <v>240</v>
      </c>
      <c r="M28" s="18">
        <f>Calculations!M60</f>
        <v>240</v>
      </c>
      <c r="N28" s="18">
        <f>Calculations!N60</f>
        <v>240</v>
      </c>
      <c r="O28" s="18">
        <f>Calculations!O60</f>
        <v>2240</v>
      </c>
      <c r="P28" s="19" t="s">
        <v>125</v>
      </c>
      <c r="Q28" s="19" t="s">
        <v>133</v>
      </c>
    </row>
    <row r="29" spans="1:17" x14ac:dyDescent="0.35">
      <c r="A29" s="17" t="s">
        <v>134</v>
      </c>
      <c r="B29" s="2"/>
      <c r="C29" s="18">
        <f>Calculations!C61</f>
        <v>2</v>
      </c>
      <c r="D29" s="18">
        <f>Calculations!D61</f>
        <v>2</v>
      </c>
      <c r="E29" s="18">
        <f>Calculations!E61</f>
        <v>2</v>
      </c>
      <c r="F29" s="18">
        <f>Calculations!F61</f>
        <v>2</v>
      </c>
      <c r="G29" s="18">
        <f>Calculations!G61</f>
        <v>2</v>
      </c>
      <c r="H29" s="18">
        <f>Calculations!H61</f>
        <v>2</v>
      </c>
      <c r="I29" s="18">
        <f>Calculations!I61</f>
        <v>2</v>
      </c>
      <c r="J29" s="18">
        <f>Calculations!J61</f>
        <v>2</v>
      </c>
      <c r="K29" s="18">
        <f>Calculations!K61</f>
        <v>2</v>
      </c>
      <c r="L29" s="18">
        <f>Calculations!L61</f>
        <v>2</v>
      </c>
      <c r="M29" s="18">
        <f>Calculations!M61</f>
        <v>2</v>
      </c>
      <c r="N29" s="18">
        <f>Calculations!N61</f>
        <v>2</v>
      </c>
      <c r="O29" s="18">
        <f>Calculations!O61</f>
        <v>24</v>
      </c>
      <c r="P29" s="19" t="s">
        <v>125</v>
      </c>
      <c r="Q29" s="19" t="s">
        <v>133</v>
      </c>
    </row>
    <row r="30" spans="1:17" x14ac:dyDescent="0.35">
      <c r="A30" s="20" t="s">
        <v>135</v>
      </c>
      <c r="B30" s="21"/>
      <c r="C30" s="22">
        <f t="shared" ref="C30:O30" si="3">SUM(C28:C29)</f>
        <v>82</v>
      </c>
      <c r="D30" s="22">
        <f t="shared" si="3"/>
        <v>82</v>
      </c>
      <c r="E30" s="22">
        <f t="shared" si="3"/>
        <v>82</v>
      </c>
      <c r="F30" s="22">
        <f t="shared" si="3"/>
        <v>82</v>
      </c>
      <c r="G30" s="22">
        <f t="shared" si="3"/>
        <v>242</v>
      </c>
      <c r="H30" s="22">
        <f t="shared" si="3"/>
        <v>242</v>
      </c>
      <c r="I30" s="22">
        <f t="shared" si="3"/>
        <v>242</v>
      </c>
      <c r="J30" s="22">
        <f t="shared" si="3"/>
        <v>242</v>
      </c>
      <c r="K30" s="22">
        <f t="shared" si="3"/>
        <v>242</v>
      </c>
      <c r="L30" s="22">
        <f t="shared" si="3"/>
        <v>242</v>
      </c>
      <c r="M30" s="22">
        <f t="shared" si="3"/>
        <v>242</v>
      </c>
      <c r="N30" s="22">
        <f t="shared" si="3"/>
        <v>242</v>
      </c>
      <c r="O30" s="22">
        <f t="shared" si="3"/>
        <v>2264</v>
      </c>
    </row>
    <row r="31" spans="1:17" x14ac:dyDescent="0.35">
      <c r="A31" s="2"/>
      <c r="B31" s="2"/>
      <c r="C31" s="2"/>
      <c r="D31" s="2"/>
      <c r="E31" s="2"/>
      <c r="F31" s="2"/>
      <c r="G31" s="2"/>
      <c r="H31" s="2"/>
      <c r="I31" s="2"/>
      <c r="J31" s="2"/>
      <c r="K31" s="2"/>
      <c r="L31" s="2"/>
      <c r="M31" s="2"/>
      <c r="N31" s="2"/>
      <c r="O31" s="2"/>
    </row>
    <row r="32" spans="1:17" x14ac:dyDescent="0.35">
      <c r="A32" s="15" t="s">
        <v>136</v>
      </c>
      <c r="B32" s="16"/>
      <c r="C32" s="16"/>
      <c r="D32" s="16"/>
      <c r="E32" s="16"/>
      <c r="F32" s="16"/>
      <c r="G32" s="16"/>
      <c r="H32" s="16"/>
      <c r="I32" s="16"/>
      <c r="J32" s="16"/>
      <c r="K32" s="16"/>
      <c r="L32" s="16"/>
      <c r="M32" s="16"/>
      <c r="N32" s="16"/>
      <c r="O32" s="16"/>
    </row>
    <row r="33" spans="1:17" x14ac:dyDescent="0.35">
      <c r="A33" s="17" t="s">
        <v>137</v>
      </c>
      <c r="B33" s="2"/>
      <c r="C33" s="18">
        <f>Calculations!C65</f>
        <v>0</v>
      </c>
      <c r="D33" s="18">
        <f>Calculations!D65</f>
        <v>0</v>
      </c>
      <c r="E33" s="18">
        <f>Calculations!E65</f>
        <v>0</v>
      </c>
      <c r="F33" s="18">
        <f>Calculations!F65</f>
        <v>0</v>
      </c>
      <c r="G33" s="18">
        <f>Calculations!G65</f>
        <v>0</v>
      </c>
      <c r="H33" s="18">
        <f>Calculations!H65</f>
        <v>0</v>
      </c>
      <c r="I33" s="18">
        <f>Calculations!I65</f>
        <v>999</v>
      </c>
      <c r="J33" s="18">
        <f>Calculations!J65</f>
        <v>1998</v>
      </c>
      <c r="K33" s="18">
        <f>Calculations!K65</f>
        <v>2997</v>
      </c>
      <c r="L33" s="18">
        <f>Calculations!L65</f>
        <v>3996</v>
      </c>
      <c r="M33" s="18">
        <f>Calculations!M65</f>
        <v>4995</v>
      </c>
      <c r="N33" s="18">
        <f>Calculations!N65</f>
        <v>6000</v>
      </c>
      <c r="O33" s="18">
        <f>Calculations!O65</f>
        <v>20985</v>
      </c>
      <c r="P33" s="19" t="s">
        <v>113</v>
      </c>
      <c r="Q33" s="19" t="s">
        <v>114</v>
      </c>
    </row>
    <row r="34" spans="1:17" x14ac:dyDescent="0.35">
      <c r="A34" s="17" t="s">
        <v>138</v>
      </c>
      <c r="B34" s="2"/>
      <c r="C34" s="18">
        <f>Calculations!C66</f>
        <v>8334</v>
      </c>
      <c r="D34" s="18">
        <f>Calculations!D66</f>
        <v>8334</v>
      </c>
      <c r="E34" s="18">
        <f>Calculations!E66</f>
        <v>8334</v>
      </c>
      <c r="F34" s="18">
        <f>Calculations!F66</f>
        <v>8334</v>
      </c>
      <c r="G34" s="18">
        <f>Calculations!G66</f>
        <v>8334</v>
      </c>
      <c r="H34" s="18">
        <f>Calculations!H66</f>
        <v>8334</v>
      </c>
      <c r="I34" s="18">
        <f>Calculations!I66</f>
        <v>8334</v>
      </c>
      <c r="J34" s="18">
        <f>Calculations!J66</f>
        <v>8334</v>
      </c>
      <c r="K34" s="18">
        <f>Calculations!K66</f>
        <v>8334</v>
      </c>
      <c r="L34" s="18">
        <f>Calculations!L66</f>
        <v>8334</v>
      </c>
      <c r="M34" s="18">
        <f>Calculations!M66</f>
        <v>8334</v>
      </c>
      <c r="N34" s="18">
        <f>Calculations!N66</f>
        <v>8334</v>
      </c>
      <c r="O34" s="18">
        <f>Calculations!O66</f>
        <v>100008</v>
      </c>
      <c r="P34" s="19" t="s">
        <v>113</v>
      </c>
      <c r="Q34" s="19" t="s">
        <v>133</v>
      </c>
    </row>
    <row r="35" spans="1:17" x14ac:dyDescent="0.35">
      <c r="A35" s="17" t="s">
        <v>139</v>
      </c>
      <c r="B35" s="2"/>
      <c r="C35" s="18">
        <f>Calculations!C68</f>
        <v>666.66666666666663</v>
      </c>
      <c r="D35" s="18">
        <f>Calculations!D68</f>
        <v>666.66666666666663</v>
      </c>
      <c r="E35" s="18">
        <f>Calculations!E68</f>
        <v>666.66666666666663</v>
      </c>
      <c r="F35" s="18">
        <f>Calculations!F68</f>
        <v>666.66666666666663</v>
      </c>
      <c r="G35" s="18">
        <f>Calculations!G68</f>
        <v>666.66666666666663</v>
      </c>
      <c r="H35" s="18">
        <f>Calculations!H68</f>
        <v>666.66666666666663</v>
      </c>
      <c r="I35" s="18">
        <f>Calculations!I68</f>
        <v>666.66666666666663</v>
      </c>
      <c r="J35" s="18">
        <f>Calculations!J68</f>
        <v>666.66666666666663</v>
      </c>
      <c r="K35" s="18">
        <f>Calculations!K68</f>
        <v>666.66666666666663</v>
      </c>
      <c r="L35" s="18">
        <f>Calculations!L68</f>
        <v>666.66666666666663</v>
      </c>
      <c r="M35" s="18">
        <f>Calculations!M68</f>
        <v>666.66666666666663</v>
      </c>
      <c r="N35" s="18">
        <f>Calculations!N68</f>
        <v>666.66666666666663</v>
      </c>
      <c r="O35" s="18">
        <f>Calculations!O68</f>
        <v>8000.0000000000009</v>
      </c>
      <c r="P35" s="19" t="s">
        <v>85</v>
      </c>
      <c r="Q35" s="19" t="s">
        <v>133</v>
      </c>
    </row>
    <row r="36" spans="1:17" x14ac:dyDescent="0.35">
      <c r="A36" s="17" t="s">
        <v>140</v>
      </c>
      <c r="B36" s="2"/>
      <c r="C36" s="18">
        <f>Calculations!C67</f>
        <v>0</v>
      </c>
      <c r="D36" s="18">
        <f>Calculations!D67</f>
        <v>0</v>
      </c>
      <c r="E36" s="18">
        <f>Calculations!E67</f>
        <v>0</v>
      </c>
      <c r="F36" s="18">
        <f>Calculations!F67</f>
        <v>0</v>
      </c>
      <c r="G36" s="18">
        <f>Calculations!G67</f>
        <v>0</v>
      </c>
      <c r="H36" s="18">
        <f>Calculations!H67</f>
        <v>0</v>
      </c>
      <c r="I36" s="18">
        <f>Calculations!I67</f>
        <v>333</v>
      </c>
      <c r="J36" s="18">
        <f>Calculations!J67</f>
        <v>333</v>
      </c>
      <c r="K36" s="18">
        <f>Calculations!K67</f>
        <v>333</v>
      </c>
      <c r="L36" s="18">
        <f>Calculations!L67</f>
        <v>333</v>
      </c>
      <c r="M36" s="18">
        <f>Calculations!M67</f>
        <v>333</v>
      </c>
      <c r="N36" s="18">
        <f>Calculations!N67</f>
        <v>335</v>
      </c>
      <c r="O36" s="18">
        <f>Calculations!O67</f>
        <v>2000</v>
      </c>
      <c r="P36" s="19" t="s">
        <v>113</v>
      </c>
      <c r="Q36" s="19" t="s">
        <v>114</v>
      </c>
    </row>
    <row r="37" spans="1:17" x14ac:dyDescent="0.35">
      <c r="A37" s="20" t="s">
        <v>141</v>
      </c>
      <c r="B37" s="21"/>
      <c r="C37" s="22">
        <f t="shared" ref="C37:O37" si="4">SUM(C33:C36)</f>
        <v>9000.6666666666661</v>
      </c>
      <c r="D37" s="22">
        <f t="shared" si="4"/>
        <v>9000.6666666666661</v>
      </c>
      <c r="E37" s="22">
        <f t="shared" si="4"/>
        <v>9000.6666666666661</v>
      </c>
      <c r="F37" s="22">
        <f t="shared" si="4"/>
        <v>9000.6666666666661</v>
      </c>
      <c r="G37" s="22">
        <f t="shared" si="4"/>
        <v>9000.6666666666661</v>
      </c>
      <c r="H37" s="22">
        <f t="shared" si="4"/>
        <v>9000.6666666666661</v>
      </c>
      <c r="I37" s="22">
        <f t="shared" si="4"/>
        <v>10332.666666666666</v>
      </c>
      <c r="J37" s="22">
        <f t="shared" si="4"/>
        <v>11331.666666666666</v>
      </c>
      <c r="K37" s="22">
        <f t="shared" si="4"/>
        <v>12330.666666666666</v>
      </c>
      <c r="L37" s="22">
        <f t="shared" si="4"/>
        <v>13329.666666666666</v>
      </c>
      <c r="M37" s="22">
        <f t="shared" si="4"/>
        <v>14328.666666666666</v>
      </c>
      <c r="N37" s="22">
        <f t="shared" si="4"/>
        <v>15335.666666666666</v>
      </c>
      <c r="O37" s="22">
        <f t="shared" si="4"/>
        <v>130993</v>
      </c>
    </row>
    <row r="38" spans="1:17" x14ac:dyDescent="0.35">
      <c r="A38" s="2"/>
      <c r="B38" s="2"/>
      <c r="C38" s="2"/>
      <c r="D38" s="2"/>
      <c r="E38" s="2"/>
      <c r="F38" s="2"/>
      <c r="G38" s="2"/>
      <c r="H38" s="2"/>
      <c r="I38" s="2"/>
      <c r="J38" s="2"/>
      <c r="K38" s="2"/>
      <c r="L38" s="2"/>
      <c r="M38" s="2"/>
      <c r="N38" s="2"/>
      <c r="O38" s="2"/>
    </row>
    <row r="39" spans="1:17" x14ac:dyDescent="0.35">
      <c r="A39" s="15" t="s">
        <v>142</v>
      </c>
      <c r="B39" s="16"/>
      <c r="C39" s="16"/>
      <c r="D39" s="16"/>
      <c r="E39" s="16"/>
      <c r="F39" s="16"/>
      <c r="G39" s="16"/>
      <c r="H39" s="16"/>
      <c r="I39" s="16"/>
      <c r="J39" s="16"/>
      <c r="K39" s="16"/>
      <c r="L39" s="16"/>
      <c r="M39" s="16"/>
      <c r="N39" s="16"/>
      <c r="O39" s="16"/>
    </row>
    <row r="40" spans="1:17" x14ac:dyDescent="0.35">
      <c r="A40" s="23" t="str">
        <f>Lists!A4</f>
        <v>Operations &amp; Service</v>
      </c>
      <c r="B40" s="2"/>
      <c r="C40" s="18">
        <f>Personnel!V53</f>
        <v>53391.666666666672</v>
      </c>
      <c r="D40" s="18">
        <f>Personnel!W53</f>
        <v>42391.666666666664</v>
      </c>
      <c r="E40" s="18">
        <f>Personnel!X53</f>
        <v>42391.666666666664</v>
      </c>
      <c r="F40" s="18">
        <f>Personnel!Y53</f>
        <v>42391.666666666664</v>
      </c>
      <c r="G40" s="18">
        <f>Personnel!Z53</f>
        <v>42391.666666666664</v>
      </c>
      <c r="H40" s="18">
        <f>Personnel!AA53</f>
        <v>42391.666666666664</v>
      </c>
      <c r="I40" s="18">
        <f>Personnel!AB53</f>
        <v>42391.666666666664</v>
      </c>
      <c r="J40" s="18">
        <f>Personnel!AC53</f>
        <v>42391.666666666664</v>
      </c>
      <c r="K40" s="18">
        <f>Personnel!AD53</f>
        <v>42391.666666666664</v>
      </c>
      <c r="L40" s="18">
        <f>Personnel!AE53</f>
        <v>42391.666666666664</v>
      </c>
      <c r="M40" s="18">
        <f>Personnel!AF53</f>
        <v>42391.666666666664</v>
      </c>
      <c r="N40" s="18">
        <f>Personnel!AG53</f>
        <v>42391.666666666664</v>
      </c>
      <c r="O40" s="24">
        <f>SUM(C40:N40)</f>
        <v>519700.00000000012</v>
      </c>
      <c r="P40" s="19" t="s">
        <v>113</v>
      </c>
      <c r="Q40" s="19" t="s">
        <v>133</v>
      </c>
    </row>
    <row r="41" spans="1:17" x14ac:dyDescent="0.35">
      <c r="A41" s="23" t="str">
        <f>Lists!A2</f>
        <v>Billing &amp; Invoicing</v>
      </c>
      <c r="B41" s="2"/>
      <c r="C41" s="18">
        <f>Personnel!V51</f>
        <v>5583.333333333333</v>
      </c>
      <c r="D41" s="18">
        <f>Personnel!W51</f>
        <v>5583.333333333333</v>
      </c>
      <c r="E41" s="18">
        <f>Personnel!X51</f>
        <v>5583.333333333333</v>
      </c>
      <c r="F41" s="18">
        <f>Personnel!Y51</f>
        <v>12953.333333333332</v>
      </c>
      <c r="G41" s="18">
        <f>Personnel!Z51</f>
        <v>12953.333333333332</v>
      </c>
      <c r="H41" s="18">
        <f>Personnel!AA51</f>
        <v>12953.333333333332</v>
      </c>
      <c r="I41" s="18">
        <f>Personnel!AB51</f>
        <v>12953.333333333332</v>
      </c>
      <c r="J41" s="18">
        <f>Personnel!AC51</f>
        <v>12953.333333333332</v>
      </c>
      <c r="K41" s="18">
        <f>Personnel!AD51</f>
        <v>12953.333333333332</v>
      </c>
      <c r="L41" s="18">
        <f>Personnel!AE51</f>
        <v>12953.333333333332</v>
      </c>
      <c r="M41" s="18">
        <f>Personnel!AF51</f>
        <v>12953.333333333332</v>
      </c>
      <c r="N41" s="18">
        <f>Personnel!AG51</f>
        <v>12953.333333333332</v>
      </c>
      <c r="O41" s="24">
        <f>SUM(C41:N41)</f>
        <v>133329.99999999997</v>
      </c>
      <c r="P41" s="19" t="s">
        <v>113</v>
      </c>
      <c r="Q41" s="19" t="s">
        <v>133</v>
      </c>
    </row>
    <row r="42" spans="1:17" x14ac:dyDescent="0.35">
      <c r="A42" s="23" t="str">
        <f>Lists!A3</f>
        <v>Customer Service</v>
      </c>
      <c r="B42" s="2"/>
      <c r="C42" s="18">
        <f>Personnel!V52</f>
        <v>4243.333333333333</v>
      </c>
      <c r="D42" s="18">
        <f>Personnel!W52</f>
        <v>4243.333333333333</v>
      </c>
      <c r="E42" s="18">
        <f>Personnel!X52</f>
        <v>4243.333333333333</v>
      </c>
      <c r="F42" s="18">
        <f>Personnel!Y52</f>
        <v>22618.333333333332</v>
      </c>
      <c r="G42" s="18">
        <f>Personnel!Z52</f>
        <v>12618.333333333332</v>
      </c>
      <c r="H42" s="18">
        <f>Personnel!AA52</f>
        <v>12618.333333333332</v>
      </c>
      <c r="I42" s="18">
        <f>Personnel!AB52</f>
        <v>12618.333333333332</v>
      </c>
      <c r="J42" s="18">
        <f>Personnel!AC52</f>
        <v>12618.333333333332</v>
      </c>
      <c r="K42" s="18">
        <f>Personnel!AD52</f>
        <v>12618.333333333332</v>
      </c>
      <c r="L42" s="18">
        <f>Personnel!AE52</f>
        <v>12618.333333333332</v>
      </c>
      <c r="M42" s="18">
        <f>Personnel!AF52</f>
        <v>12618.333333333332</v>
      </c>
      <c r="N42" s="18">
        <f>Personnel!AG52</f>
        <v>12618.333333333332</v>
      </c>
      <c r="O42" s="24">
        <f>SUM(C42:N42)</f>
        <v>136294.99999999997</v>
      </c>
      <c r="P42" s="19" t="s">
        <v>125</v>
      </c>
      <c r="Q42" s="19" t="s">
        <v>133</v>
      </c>
    </row>
    <row r="43" spans="1:17" x14ac:dyDescent="0.35">
      <c r="A43" s="23" t="str">
        <f>Lists!A5</f>
        <v>Pricing &amp; Risk Management</v>
      </c>
      <c r="B43" s="2"/>
      <c r="C43" s="18">
        <f>Personnel!V54</f>
        <v>6476.666666666667</v>
      </c>
      <c r="D43" s="18">
        <f>Personnel!W54</f>
        <v>6476.666666666667</v>
      </c>
      <c r="E43" s="18">
        <f>Personnel!X54</f>
        <v>6476.666666666667</v>
      </c>
      <c r="F43" s="18">
        <f>Personnel!Y54</f>
        <v>12060</v>
      </c>
      <c r="G43" s="18">
        <f>Personnel!Z54</f>
        <v>12060</v>
      </c>
      <c r="H43" s="18">
        <f>Personnel!AA54</f>
        <v>12060</v>
      </c>
      <c r="I43" s="18">
        <f>Personnel!AB54</f>
        <v>12060</v>
      </c>
      <c r="J43" s="18">
        <f>Personnel!AC54</f>
        <v>12060</v>
      </c>
      <c r="K43" s="18">
        <f>Personnel!AD54</f>
        <v>12060</v>
      </c>
      <c r="L43" s="18">
        <f>Personnel!AE54</f>
        <v>12060</v>
      </c>
      <c r="M43" s="18">
        <f>Personnel!AF54</f>
        <v>12060</v>
      </c>
      <c r="N43" s="18">
        <f>Personnel!AG54</f>
        <v>12060</v>
      </c>
      <c r="O43" s="24">
        <f>SUM(C43:N43)</f>
        <v>127970</v>
      </c>
      <c r="P43" s="19" t="s">
        <v>85</v>
      </c>
      <c r="Q43" s="19" t="s">
        <v>133</v>
      </c>
    </row>
    <row r="44" spans="1:17" x14ac:dyDescent="0.35">
      <c r="A44" s="23" t="str">
        <f>Lists!A6</f>
        <v>Switching &amp; Metering</v>
      </c>
      <c r="B44" s="2"/>
      <c r="C44" s="18">
        <f>Personnel!V55</f>
        <v>9603.3333333333321</v>
      </c>
      <c r="D44" s="18">
        <f>Personnel!W55</f>
        <v>9603.3333333333321</v>
      </c>
      <c r="E44" s="18">
        <f>Personnel!X55</f>
        <v>9603.3333333333321</v>
      </c>
      <c r="F44" s="18">
        <f>Personnel!Y55</f>
        <v>9603.3333333333321</v>
      </c>
      <c r="G44" s="18">
        <f>Personnel!Z55</f>
        <v>9603.3333333333321</v>
      </c>
      <c r="H44" s="18">
        <f>Personnel!AA55</f>
        <v>9603.3333333333321</v>
      </c>
      <c r="I44" s="18">
        <f>Personnel!AB55</f>
        <v>9603.3333333333321</v>
      </c>
      <c r="J44" s="18">
        <f>Personnel!AC55</f>
        <v>9603.3333333333321</v>
      </c>
      <c r="K44" s="18">
        <f>Personnel!AD55</f>
        <v>9603.3333333333321</v>
      </c>
      <c r="L44" s="18">
        <f>Personnel!AE55</f>
        <v>9603.3333333333321</v>
      </c>
      <c r="M44" s="18">
        <f>Personnel!AF55</f>
        <v>9603.3333333333321</v>
      </c>
      <c r="N44" s="18">
        <f>Personnel!AG55</f>
        <v>9603.3333333333321</v>
      </c>
      <c r="O44" s="24">
        <f>SUM(C44:N44)</f>
        <v>115239.99999999996</v>
      </c>
      <c r="P44" s="19" t="s">
        <v>113</v>
      </c>
      <c r="Q44" s="19" t="s">
        <v>133</v>
      </c>
    </row>
    <row r="45" spans="1:17" x14ac:dyDescent="0.35">
      <c r="A45" s="20" t="s">
        <v>143</v>
      </c>
      <c r="B45" s="21"/>
      <c r="C45" s="22">
        <f t="shared" ref="C45:O45" si="5">SUM(C40:C44)</f>
        <v>79298.333333333343</v>
      </c>
      <c r="D45" s="22">
        <f t="shared" si="5"/>
        <v>68298.333333333328</v>
      </c>
      <c r="E45" s="22">
        <f t="shared" si="5"/>
        <v>68298.333333333328</v>
      </c>
      <c r="F45" s="22">
        <f t="shared" si="5"/>
        <v>99626.666666666657</v>
      </c>
      <c r="G45" s="22">
        <f t="shared" si="5"/>
        <v>89626.666666666657</v>
      </c>
      <c r="H45" s="22">
        <f t="shared" si="5"/>
        <v>89626.666666666657</v>
      </c>
      <c r="I45" s="22">
        <f t="shared" si="5"/>
        <v>89626.666666666657</v>
      </c>
      <c r="J45" s="22">
        <f t="shared" si="5"/>
        <v>89626.666666666657</v>
      </c>
      <c r="K45" s="22">
        <f t="shared" si="5"/>
        <v>89626.666666666657</v>
      </c>
      <c r="L45" s="22">
        <f t="shared" si="5"/>
        <v>89626.666666666657</v>
      </c>
      <c r="M45" s="22">
        <f t="shared" si="5"/>
        <v>89626.666666666657</v>
      </c>
      <c r="N45" s="22">
        <f t="shared" si="5"/>
        <v>89626.666666666657</v>
      </c>
      <c r="O45" s="22">
        <f t="shared" si="5"/>
        <v>1032535.0000000001</v>
      </c>
    </row>
    <row r="46" spans="1:17" x14ac:dyDescent="0.35">
      <c r="A46" s="2"/>
      <c r="B46" s="2"/>
      <c r="C46" s="2"/>
      <c r="D46" s="2"/>
      <c r="E46" s="2"/>
      <c r="F46" s="2"/>
      <c r="G46" s="2"/>
      <c r="H46" s="2"/>
      <c r="I46" s="2"/>
      <c r="J46" s="2"/>
      <c r="K46" s="2"/>
      <c r="L46" s="2"/>
      <c r="M46" s="2"/>
      <c r="N46" s="2"/>
      <c r="O46" s="2"/>
    </row>
    <row r="47" spans="1:17" x14ac:dyDescent="0.35">
      <c r="A47" s="25" t="s">
        <v>144</v>
      </c>
      <c r="B47" s="26"/>
      <c r="C47" s="27">
        <f t="shared" ref="C47:O47" si="6">C10+C16+C25+C30+C37+C45</f>
        <v>88381.000000000015</v>
      </c>
      <c r="D47" s="27">
        <f t="shared" si="6"/>
        <v>77381</v>
      </c>
      <c r="E47" s="27">
        <f t="shared" si="6"/>
        <v>77381</v>
      </c>
      <c r="F47" s="27">
        <f t="shared" si="6"/>
        <v>108709.33333333333</v>
      </c>
      <c r="G47" s="27">
        <f t="shared" si="6"/>
        <v>98869.333333333328</v>
      </c>
      <c r="H47" s="27">
        <f t="shared" si="6"/>
        <v>98869.333333333328</v>
      </c>
      <c r="I47" s="27">
        <f t="shared" si="6"/>
        <v>102849.68166733332</v>
      </c>
      <c r="J47" s="27">
        <f t="shared" si="6"/>
        <v>106197.57309133332</v>
      </c>
      <c r="K47" s="27">
        <f t="shared" si="6"/>
        <v>109545.46451533333</v>
      </c>
      <c r="L47" s="27">
        <f t="shared" si="6"/>
        <v>112893.35593933333</v>
      </c>
      <c r="M47" s="27">
        <f t="shared" si="6"/>
        <v>116241.24736333333</v>
      </c>
      <c r="N47" s="27">
        <f t="shared" si="6"/>
        <v>119613.04478333332</v>
      </c>
      <c r="O47" s="27">
        <f t="shared" si="6"/>
        <v>1216931.36736</v>
      </c>
      <c r="P47" s="17"/>
      <c r="Q47" s="17"/>
    </row>
    <row r="48" spans="1:17" x14ac:dyDescent="0.35">
      <c r="A48" s="17"/>
      <c r="B48" s="17"/>
      <c r="C48" s="17"/>
      <c r="D48" s="17"/>
      <c r="E48" s="17"/>
      <c r="F48" s="17"/>
      <c r="G48" s="17"/>
      <c r="H48" s="17"/>
      <c r="I48" s="17"/>
      <c r="J48" s="17"/>
      <c r="K48" s="17"/>
      <c r="L48" s="17"/>
      <c r="M48" s="17"/>
      <c r="N48" s="17"/>
      <c r="O48" s="17"/>
      <c r="P48" s="17"/>
      <c r="Q48" s="17"/>
    </row>
    <row r="49" spans="1:17" x14ac:dyDescent="0.35">
      <c r="A49" s="15" t="s">
        <v>145</v>
      </c>
      <c r="B49" s="28"/>
      <c r="C49" s="28"/>
      <c r="D49" s="28"/>
      <c r="E49" s="28"/>
      <c r="F49" s="28"/>
      <c r="G49" s="28"/>
      <c r="H49" s="28"/>
      <c r="I49" s="28"/>
      <c r="J49" s="28"/>
      <c r="K49" s="28"/>
      <c r="L49" s="28"/>
      <c r="M49" s="28"/>
      <c r="N49" s="28"/>
      <c r="O49" s="28"/>
      <c r="P49" s="28"/>
      <c r="Q49" s="28"/>
    </row>
    <row r="50" spans="1:17" x14ac:dyDescent="0.35">
      <c r="A50" s="17" t="s">
        <v>146</v>
      </c>
      <c r="B50" s="17"/>
      <c r="C50" s="29">
        <f t="shared" ref="C50:O50" si="7">SUMIF($Q$6:$Q$45,"Variable",C$6:C$45)</f>
        <v>0</v>
      </c>
      <c r="D50" s="29">
        <f t="shared" si="7"/>
        <v>0</v>
      </c>
      <c r="E50" s="29">
        <f t="shared" si="7"/>
        <v>0</v>
      </c>
      <c r="F50" s="29">
        <f t="shared" si="7"/>
        <v>0</v>
      </c>
      <c r="G50" s="29">
        <f t="shared" si="7"/>
        <v>0</v>
      </c>
      <c r="H50" s="29">
        <f t="shared" si="7"/>
        <v>0</v>
      </c>
      <c r="I50" s="29">
        <f t="shared" si="7"/>
        <v>3980.3483340000007</v>
      </c>
      <c r="J50" s="29">
        <f t="shared" si="7"/>
        <v>7328.2397580000006</v>
      </c>
      <c r="K50" s="29">
        <f t="shared" si="7"/>
        <v>10676.131182000001</v>
      </c>
      <c r="L50" s="29">
        <f t="shared" si="7"/>
        <v>14024.022606000002</v>
      </c>
      <c r="M50" s="29">
        <f t="shared" si="7"/>
        <v>17371.91403</v>
      </c>
      <c r="N50" s="29">
        <f t="shared" si="7"/>
        <v>20743.711450000003</v>
      </c>
      <c r="O50" s="24">
        <f t="shared" si="7"/>
        <v>74124.367359999989</v>
      </c>
      <c r="P50" s="17"/>
      <c r="Q50" s="17"/>
    </row>
    <row r="51" spans="1:17" x14ac:dyDescent="0.35">
      <c r="A51" s="17" t="s">
        <v>147</v>
      </c>
      <c r="B51" s="17"/>
      <c r="C51" s="29">
        <f t="shared" ref="C51:O51" si="8">SUMIF($Q$6:$Q$45,"Fixed",C$6:C$45)</f>
        <v>88381</v>
      </c>
      <c r="D51" s="29">
        <f t="shared" si="8"/>
        <v>77381</v>
      </c>
      <c r="E51" s="29">
        <f t="shared" si="8"/>
        <v>77381</v>
      </c>
      <c r="F51" s="29">
        <f t="shared" si="8"/>
        <v>108709.33333333331</v>
      </c>
      <c r="G51" s="29">
        <f t="shared" si="8"/>
        <v>98869.333333333314</v>
      </c>
      <c r="H51" s="29">
        <f t="shared" si="8"/>
        <v>98869.333333333314</v>
      </c>
      <c r="I51" s="29">
        <f t="shared" si="8"/>
        <v>98869.333333333314</v>
      </c>
      <c r="J51" s="29">
        <f t="shared" si="8"/>
        <v>98869.333333333314</v>
      </c>
      <c r="K51" s="29">
        <f t="shared" si="8"/>
        <v>98869.333333333314</v>
      </c>
      <c r="L51" s="29">
        <f t="shared" si="8"/>
        <v>98869.333333333314</v>
      </c>
      <c r="M51" s="29">
        <f t="shared" si="8"/>
        <v>98869.333333333314</v>
      </c>
      <c r="N51" s="29">
        <f t="shared" si="8"/>
        <v>98869.333333333314</v>
      </c>
      <c r="O51" s="24">
        <f t="shared" si="8"/>
        <v>1142807</v>
      </c>
      <c r="P51" s="17"/>
      <c r="Q51" s="17"/>
    </row>
    <row r="52" spans="1:17" x14ac:dyDescent="0.35">
      <c r="A52" s="30" t="s">
        <v>148</v>
      </c>
      <c r="B52" s="17"/>
      <c r="C52" s="29">
        <f t="shared" ref="C52:O52" si="9">C47-C50-C51</f>
        <v>0</v>
      </c>
      <c r="D52" s="29">
        <f t="shared" si="9"/>
        <v>0</v>
      </c>
      <c r="E52" s="29">
        <f t="shared" si="9"/>
        <v>0</v>
      </c>
      <c r="F52" s="29">
        <f t="shared" si="9"/>
        <v>0</v>
      </c>
      <c r="G52" s="29">
        <f t="shared" si="9"/>
        <v>0</v>
      </c>
      <c r="H52" s="29">
        <f t="shared" si="9"/>
        <v>0</v>
      </c>
      <c r="I52" s="29">
        <f t="shared" si="9"/>
        <v>0</v>
      </c>
      <c r="J52" s="29">
        <f t="shared" si="9"/>
        <v>0</v>
      </c>
      <c r="K52" s="29">
        <f t="shared" si="9"/>
        <v>0</v>
      </c>
      <c r="L52" s="29">
        <f t="shared" si="9"/>
        <v>0</v>
      </c>
      <c r="M52" s="29">
        <f t="shared" si="9"/>
        <v>0</v>
      </c>
      <c r="N52" s="29">
        <f t="shared" si="9"/>
        <v>0</v>
      </c>
      <c r="O52" s="24">
        <f t="shared" si="9"/>
        <v>0</v>
      </c>
      <c r="P52" s="17"/>
      <c r="Q52" s="17"/>
    </row>
    <row r="53" spans="1:17" x14ac:dyDescent="0.35">
      <c r="A53" s="17"/>
      <c r="B53" s="17"/>
      <c r="C53" s="17"/>
      <c r="D53" s="17"/>
      <c r="E53" s="17"/>
      <c r="F53" s="17"/>
      <c r="G53" s="17"/>
      <c r="H53" s="17"/>
      <c r="I53" s="17"/>
      <c r="J53" s="17"/>
      <c r="K53" s="17"/>
      <c r="L53" s="17"/>
      <c r="M53" s="17"/>
      <c r="N53" s="17"/>
      <c r="O53" s="17"/>
      <c r="P53" s="17"/>
      <c r="Q53" s="17"/>
    </row>
    <row r="54" spans="1:17" x14ac:dyDescent="0.35">
      <c r="A54" s="15" t="s">
        <v>149</v>
      </c>
      <c r="B54" s="28"/>
      <c r="C54" s="28"/>
      <c r="D54" s="28"/>
      <c r="E54" s="28"/>
      <c r="F54" s="28"/>
      <c r="G54" s="28"/>
      <c r="H54" s="28"/>
      <c r="I54" s="28"/>
      <c r="J54" s="28"/>
      <c r="K54" s="28"/>
      <c r="L54" s="28"/>
      <c r="M54" s="28"/>
      <c r="N54" s="28"/>
      <c r="O54" s="28"/>
      <c r="P54" s="28"/>
      <c r="Q54" s="28"/>
    </row>
    <row r="55" spans="1:17" x14ac:dyDescent="0.35">
      <c r="A55" s="17" t="s">
        <v>113</v>
      </c>
      <c r="B55" s="17"/>
      <c r="C55" s="29">
        <f t="shared" ref="C55:O55" si="10">SUMIF($P$6:$P$45,"CTS - Operations",C$6:C$45)</f>
        <v>76912.333333333328</v>
      </c>
      <c r="D55" s="29">
        <f t="shared" si="10"/>
        <v>65912.333333333328</v>
      </c>
      <c r="E55" s="29">
        <f t="shared" si="10"/>
        <v>65912.333333333328</v>
      </c>
      <c r="F55" s="29">
        <f t="shared" si="10"/>
        <v>73282.333333333328</v>
      </c>
      <c r="G55" s="29">
        <f t="shared" si="10"/>
        <v>73282.333333333328</v>
      </c>
      <c r="H55" s="29">
        <f t="shared" si="10"/>
        <v>73282.333333333328</v>
      </c>
      <c r="I55" s="29">
        <f t="shared" si="10"/>
        <v>75313.147153333324</v>
      </c>
      <c r="J55" s="29">
        <f t="shared" si="10"/>
        <v>76711.504063333326</v>
      </c>
      <c r="K55" s="29">
        <f t="shared" si="10"/>
        <v>78109.860973333329</v>
      </c>
      <c r="L55" s="29">
        <f t="shared" si="10"/>
        <v>79508.217883333331</v>
      </c>
      <c r="M55" s="29">
        <f t="shared" si="10"/>
        <v>80906.574793333319</v>
      </c>
      <c r="N55" s="29">
        <f t="shared" si="10"/>
        <v>82317.128783333319</v>
      </c>
      <c r="O55" s="24">
        <f t="shared" si="10"/>
        <v>901450.43365000014</v>
      </c>
      <c r="P55" s="17"/>
      <c r="Q55" s="17"/>
    </row>
    <row r="56" spans="1:17" x14ac:dyDescent="0.35">
      <c r="A56" s="17" t="s">
        <v>125</v>
      </c>
      <c r="B56" s="17"/>
      <c r="C56" s="29">
        <f t="shared" ref="C56:O56" si="11">SUMIF($P$6:$P$45,"CTS - Customer care",C$6:C$45)</f>
        <v>4325.333333333333</v>
      </c>
      <c r="D56" s="29">
        <f t="shared" si="11"/>
        <v>4325.333333333333</v>
      </c>
      <c r="E56" s="29">
        <f t="shared" si="11"/>
        <v>4325.333333333333</v>
      </c>
      <c r="F56" s="29">
        <f t="shared" si="11"/>
        <v>22700.333333333332</v>
      </c>
      <c r="G56" s="29">
        <f t="shared" si="11"/>
        <v>12860.333333333332</v>
      </c>
      <c r="H56" s="29">
        <f t="shared" si="11"/>
        <v>12860.333333333332</v>
      </c>
      <c r="I56" s="29">
        <f t="shared" si="11"/>
        <v>14809.867847333331</v>
      </c>
      <c r="J56" s="29">
        <f t="shared" si="11"/>
        <v>16759.402361333334</v>
      </c>
      <c r="K56" s="29">
        <f t="shared" si="11"/>
        <v>18708.936875333333</v>
      </c>
      <c r="L56" s="29">
        <f t="shared" si="11"/>
        <v>20658.471389333332</v>
      </c>
      <c r="M56" s="29">
        <f t="shared" si="11"/>
        <v>22608.005903333331</v>
      </c>
      <c r="N56" s="29">
        <f t="shared" si="11"/>
        <v>24569.249333333333</v>
      </c>
      <c r="O56" s="24">
        <f t="shared" si="11"/>
        <v>179510.93370999995</v>
      </c>
      <c r="P56" s="17"/>
      <c r="Q56" s="17"/>
    </row>
    <row r="57" spans="1:17" x14ac:dyDescent="0.35">
      <c r="A57" s="20" t="s">
        <v>150</v>
      </c>
      <c r="B57" s="31"/>
      <c r="C57" s="22">
        <f t="shared" ref="C57:O57" si="12">C55+C56</f>
        <v>81237.666666666657</v>
      </c>
      <c r="D57" s="22">
        <f t="shared" si="12"/>
        <v>70237.666666666657</v>
      </c>
      <c r="E57" s="22">
        <f t="shared" si="12"/>
        <v>70237.666666666657</v>
      </c>
      <c r="F57" s="22">
        <f t="shared" si="12"/>
        <v>95982.666666666657</v>
      </c>
      <c r="G57" s="22">
        <f t="shared" si="12"/>
        <v>86142.666666666657</v>
      </c>
      <c r="H57" s="22">
        <f t="shared" si="12"/>
        <v>86142.666666666657</v>
      </c>
      <c r="I57" s="22">
        <f t="shared" si="12"/>
        <v>90123.015000666652</v>
      </c>
      <c r="J57" s="22">
        <f t="shared" si="12"/>
        <v>93470.906424666668</v>
      </c>
      <c r="K57" s="22">
        <f t="shared" si="12"/>
        <v>96818.797848666669</v>
      </c>
      <c r="L57" s="22">
        <f t="shared" si="12"/>
        <v>100166.68927266667</v>
      </c>
      <c r="M57" s="22">
        <f t="shared" si="12"/>
        <v>103514.58069666664</v>
      </c>
      <c r="N57" s="22">
        <f t="shared" si="12"/>
        <v>106886.37811666666</v>
      </c>
      <c r="O57" s="22">
        <f t="shared" si="12"/>
        <v>1080961.36736</v>
      </c>
      <c r="P57" s="17"/>
      <c r="Q57" s="17"/>
    </row>
    <row r="58" spans="1:17" x14ac:dyDescent="0.35">
      <c r="A58" s="30" t="s">
        <v>151</v>
      </c>
      <c r="B58" s="17"/>
      <c r="C58" s="29">
        <f t="shared" ref="C58:O58" si="13">SUMIFS(C$6:C$45,$Q$6:$Q$45,"Variable",$P$6:$P$45,"CTS - Operations")+SUMIFS(C$6:C$45,$Q$6:$Q$45,"Variable",$P$6:$P$45,"CTS - Customer care")</f>
        <v>0</v>
      </c>
      <c r="D58" s="29">
        <f t="shared" si="13"/>
        <v>0</v>
      </c>
      <c r="E58" s="29">
        <f t="shared" si="13"/>
        <v>0</v>
      </c>
      <c r="F58" s="29">
        <f t="shared" si="13"/>
        <v>0</v>
      </c>
      <c r="G58" s="29">
        <f t="shared" si="13"/>
        <v>0</v>
      </c>
      <c r="H58" s="29">
        <f t="shared" si="13"/>
        <v>0</v>
      </c>
      <c r="I58" s="29">
        <f t="shared" si="13"/>
        <v>3980.3483340000002</v>
      </c>
      <c r="J58" s="29">
        <f t="shared" si="13"/>
        <v>7328.2397579999997</v>
      </c>
      <c r="K58" s="29">
        <f t="shared" si="13"/>
        <v>10676.131182000001</v>
      </c>
      <c r="L58" s="29">
        <f t="shared" si="13"/>
        <v>14024.022606</v>
      </c>
      <c r="M58" s="29">
        <f t="shared" si="13"/>
        <v>17371.91403</v>
      </c>
      <c r="N58" s="29">
        <f t="shared" si="13"/>
        <v>20743.711450000003</v>
      </c>
      <c r="O58" s="24">
        <f t="shared" si="13"/>
        <v>74124.367360000004</v>
      </c>
      <c r="P58" s="17"/>
      <c r="Q58" s="17"/>
    </row>
    <row r="59" spans="1:17" x14ac:dyDescent="0.35">
      <c r="A59" s="17" t="s">
        <v>152</v>
      </c>
      <c r="B59" s="17"/>
      <c r="C59" s="29">
        <f t="shared" ref="C59:O59" si="14">SUMIF($P$6:$P$45,"Outside CTS",C$6:C$45)</f>
        <v>7143.3333333333339</v>
      </c>
      <c r="D59" s="29">
        <f t="shared" si="14"/>
        <v>7143.3333333333339</v>
      </c>
      <c r="E59" s="29">
        <f t="shared" si="14"/>
        <v>7143.3333333333339</v>
      </c>
      <c r="F59" s="29">
        <f t="shared" si="14"/>
        <v>12726.666666666666</v>
      </c>
      <c r="G59" s="29">
        <f t="shared" si="14"/>
        <v>12726.666666666666</v>
      </c>
      <c r="H59" s="29">
        <f t="shared" si="14"/>
        <v>12726.666666666666</v>
      </c>
      <c r="I59" s="29">
        <f t="shared" si="14"/>
        <v>12726.666666666666</v>
      </c>
      <c r="J59" s="29">
        <f t="shared" si="14"/>
        <v>12726.666666666666</v>
      </c>
      <c r="K59" s="29">
        <f t="shared" si="14"/>
        <v>12726.666666666666</v>
      </c>
      <c r="L59" s="29">
        <f t="shared" si="14"/>
        <v>12726.666666666666</v>
      </c>
      <c r="M59" s="29">
        <f t="shared" si="14"/>
        <v>12726.666666666666</v>
      </c>
      <c r="N59" s="29">
        <f t="shared" si="14"/>
        <v>12726.666666666666</v>
      </c>
      <c r="O59" s="24">
        <f t="shared" si="14"/>
        <v>135970</v>
      </c>
      <c r="P59" s="17"/>
      <c r="Q59" s="17"/>
    </row>
    <row r="60" spans="1:17" x14ac:dyDescent="0.35">
      <c r="A60" s="30" t="s">
        <v>148</v>
      </c>
      <c r="B60" s="17"/>
      <c r="C60" s="29">
        <f t="shared" ref="C60:O60" si="15">C47-C57-C59</f>
        <v>2.3646862246096134E-11</v>
      </c>
      <c r="D60" s="29">
        <f t="shared" si="15"/>
        <v>9.0949470177292824E-12</v>
      </c>
      <c r="E60" s="29">
        <f t="shared" si="15"/>
        <v>9.0949470177292824E-12</v>
      </c>
      <c r="F60" s="29">
        <f t="shared" si="15"/>
        <v>0</v>
      </c>
      <c r="G60" s="29">
        <f t="shared" si="15"/>
        <v>0</v>
      </c>
      <c r="H60" s="29">
        <f t="shared" si="15"/>
        <v>0</v>
      </c>
      <c r="I60" s="29">
        <f t="shared" si="15"/>
        <v>0</v>
      </c>
      <c r="J60" s="29">
        <f t="shared" si="15"/>
        <v>0</v>
      </c>
      <c r="K60" s="29">
        <f t="shared" si="15"/>
        <v>0</v>
      </c>
      <c r="L60" s="29">
        <f t="shared" si="15"/>
        <v>0</v>
      </c>
      <c r="M60" s="29">
        <f t="shared" si="15"/>
        <v>2.0008883439004421E-11</v>
      </c>
      <c r="N60" s="29">
        <f t="shared" si="15"/>
        <v>0</v>
      </c>
      <c r="O60" s="24">
        <f t="shared" si="15"/>
        <v>0</v>
      </c>
      <c r="P60" s="17"/>
      <c r="Q60" s="17"/>
    </row>
    <row r="61" spans="1:17" x14ac:dyDescent="0.35">
      <c r="A61" s="17"/>
      <c r="B61" s="17"/>
      <c r="C61" s="17"/>
      <c r="D61" s="17"/>
      <c r="E61" s="17"/>
      <c r="F61" s="17"/>
      <c r="G61" s="17"/>
      <c r="H61" s="17"/>
      <c r="I61" s="17"/>
      <c r="J61" s="17"/>
      <c r="K61" s="17"/>
      <c r="L61" s="17"/>
      <c r="M61" s="17"/>
      <c r="N61" s="17"/>
      <c r="O61" s="17"/>
      <c r="P61" s="17"/>
      <c r="Q61" s="17"/>
    </row>
    <row r="62" spans="1:17" x14ac:dyDescent="0.35">
      <c r="A62" s="15" t="s">
        <v>153</v>
      </c>
      <c r="B62" s="28"/>
      <c r="C62" s="28"/>
      <c r="D62" s="28"/>
      <c r="E62" s="28"/>
      <c r="F62" s="28"/>
      <c r="G62" s="28"/>
      <c r="H62" s="28"/>
      <c r="I62" s="28"/>
      <c r="J62" s="28"/>
      <c r="K62" s="28"/>
      <c r="L62" s="28"/>
      <c r="M62" s="28"/>
      <c r="N62" s="28"/>
      <c r="O62" s="28"/>
      <c r="P62" s="28"/>
      <c r="Q62" s="28"/>
    </row>
    <row r="63" spans="1:17" x14ac:dyDescent="0.35">
      <c r="A63" s="17" t="s">
        <v>154</v>
      </c>
      <c r="B63" s="17"/>
      <c r="C63" s="18">
        <f>Calculations!C8</f>
        <v>0</v>
      </c>
      <c r="D63" s="18">
        <f>Calculations!D8</f>
        <v>0</v>
      </c>
      <c r="E63" s="18">
        <f>Calculations!E8</f>
        <v>0</v>
      </c>
      <c r="F63" s="18">
        <f>Calculations!F8</f>
        <v>0</v>
      </c>
      <c r="G63" s="18">
        <f>Calculations!G8</f>
        <v>0</v>
      </c>
      <c r="H63" s="18">
        <f>Calculations!H8</f>
        <v>0</v>
      </c>
      <c r="I63" s="18">
        <f>Calculations!I8</f>
        <v>333</v>
      </c>
      <c r="J63" s="18">
        <f>Calculations!J8</f>
        <v>333</v>
      </c>
      <c r="K63" s="18">
        <f>Calculations!K8</f>
        <v>333</v>
      </c>
      <c r="L63" s="18">
        <f>Calculations!L8</f>
        <v>333</v>
      </c>
      <c r="M63" s="18">
        <f>Calculations!M8</f>
        <v>333</v>
      </c>
      <c r="N63" s="18">
        <f>Calculations!N8</f>
        <v>335</v>
      </c>
      <c r="O63" s="24">
        <f>Calculations!O8</f>
        <v>2000</v>
      </c>
      <c r="P63" s="17"/>
      <c r="Q63" s="17"/>
    </row>
    <row r="64" spans="1:17" x14ac:dyDescent="0.35">
      <c r="A64" s="17" t="s">
        <v>155</v>
      </c>
      <c r="B64" s="17"/>
      <c r="C64" s="18">
        <f>Calculations!C64</f>
        <v>0</v>
      </c>
      <c r="D64" s="18">
        <f>Calculations!D64</f>
        <v>0</v>
      </c>
      <c r="E64" s="18">
        <f>Calculations!E64</f>
        <v>0</v>
      </c>
      <c r="F64" s="18">
        <f>Calculations!F64</f>
        <v>0</v>
      </c>
      <c r="G64" s="18">
        <f>Calculations!G64</f>
        <v>0</v>
      </c>
      <c r="H64" s="18">
        <f>Calculations!H64</f>
        <v>0</v>
      </c>
      <c r="I64" s="18">
        <f>Calculations!I64</f>
        <v>333</v>
      </c>
      <c r="J64" s="18">
        <f>Calculations!J64</f>
        <v>666</v>
      </c>
      <c r="K64" s="18">
        <f>Calculations!K64</f>
        <v>999</v>
      </c>
      <c r="L64" s="18">
        <f>Calculations!L64</f>
        <v>1332</v>
      </c>
      <c r="M64" s="18">
        <f>Calculations!M64</f>
        <v>1665</v>
      </c>
      <c r="N64" s="18">
        <f>Calculations!N64</f>
        <v>2000</v>
      </c>
      <c r="O64" s="24">
        <f>AVERAGE(Calculations!C64:N64)</f>
        <v>582.91666666666663</v>
      </c>
      <c r="P64" s="17"/>
      <c r="Q64" s="17"/>
    </row>
    <row r="65" spans="1:17" x14ac:dyDescent="0.35">
      <c r="A65" s="17" t="s">
        <v>156</v>
      </c>
      <c r="B65" s="17"/>
      <c r="C65" s="18">
        <f>Calculations!C14</f>
        <v>0</v>
      </c>
      <c r="D65" s="18">
        <f>Calculations!D14</f>
        <v>0</v>
      </c>
      <c r="E65" s="18">
        <f>Calculations!E14</f>
        <v>0</v>
      </c>
      <c r="F65" s="18">
        <f>Calculations!F14</f>
        <v>0</v>
      </c>
      <c r="G65" s="18">
        <f>Calculations!G14</f>
        <v>0</v>
      </c>
      <c r="H65" s="18">
        <f>Calculations!H14</f>
        <v>0</v>
      </c>
      <c r="I65" s="18">
        <f>Calculations!I14</f>
        <v>666</v>
      </c>
      <c r="J65" s="18">
        <f>Calculations!J14</f>
        <v>999</v>
      </c>
      <c r="K65" s="18">
        <f>Calculations!K14</f>
        <v>1332</v>
      </c>
      <c r="L65" s="18">
        <f>Calculations!L14</f>
        <v>1665</v>
      </c>
      <c r="M65" s="18">
        <f>Calculations!M14</f>
        <v>1998</v>
      </c>
      <c r="N65" s="18">
        <f>Calculations!N14</f>
        <v>2335</v>
      </c>
      <c r="O65" s="24">
        <f>Calculations!O14</f>
        <v>8995</v>
      </c>
      <c r="P65" s="17"/>
      <c r="Q65" s="17"/>
    </row>
    <row r="66" spans="1:17" x14ac:dyDescent="0.35">
      <c r="A66" s="17" t="s">
        <v>157</v>
      </c>
      <c r="B66" s="17"/>
      <c r="C66" s="32">
        <f>Personnel!J56</f>
        <v>8</v>
      </c>
      <c r="D66" s="32">
        <f>Personnel!K56</f>
        <v>8</v>
      </c>
      <c r="E66" s="32">
        <f>Personnel!L56</f>
        <v>8</v>
      </c>
      <c r="F66" s="32">
        <f>Personnel!M56</f>
        <v>13</v>
      </c>
      <c r="G66" s="32">
        <f>Personnel!N56</f>
        <v>13</v>
      </c>
      <c r="H66" s="32">
        <f>Personnel!O56</f>
        <v>13</v>
      </c>
      <c r="I66" s="32">
        <f>Personnel!P56</f>
        <v>13</v>
      </c>
      <c r="J66" s="32">
        <f>Personnel!Q56</f>
        <v>13</v>
      </c>
      <c r="K66" s="32">
        <f>Personnel!R56</f>
        <v>13</v>
      </c>
      <c r="L66" s="32">
        <f>Personnel!S56</f>
        <v>13</v>
      </c>
      <c r="M66" s="32">
        <f>Personnel!T56</f>
        <v>13</v>
      </c>
      <c r="N66" s="32">
        <f>Personnel!U56</f>
        <v>13</v>
      </c>
      <c r="O66" s="33">
        <f>AVERAGE(Personnel!J56:U56)</f>
        <v>11.75</v>
      </c>
      <c r="P66" s="17"/>
      <c r="Q66" s="17"/>
    </row>
    <row r="67" spans="1:17" x14ac:dyDescent="0.35">
      <c r="A67" s="17"/>
      <c r="B67" s="17"/>
      <c r="C67" s="17"/>
      <c r="D67" s="17"/>
      <c r="E67" s="17"/>
      <c r="F67" s="17"/>
      <c r="G67" s="17"/>
      <c r="H67" s="17"/>
      <c r="I67" s="17"/>
      <c r="J67" s="17"/>
      <c r="K67" s="17"/>
      <c r="L67" s="17"/>
      <c r="M67" s="17"/>
      <c r="N67" s="17"/>
      <c r="O67" s="17"/>
      <c r="P67" s="17"/>
      <c r="Q67" s="17"/>
    </row>
    <row r="68" spans="1:17" x14ac:dyDescent="0.35">
      <c r="A68" s="15" t="s">
        <v>158</v>
      </c>
      <c r="B68" s="28"/>
      <c r="C68" s="28"/>
      <c r="D68" s="28"/>
      <c r="E68" s="28"/>
      <c r="F68" s="28"/>
      <c r="G68" s="28"/>
      <c r="H68" s="28"/>
      <c r="I68" s="28"/>
      <c r="J68" s="28"/>
      <c r="K68" s="28"/>
      <c r="L68" s="28"/>
      <c r="M68" s="28"/>
      <c r="N68" s="28"/>
      <c r="O68" s="28"/>
      <c r="P68" s="28"/>
      <c r="Q68" s="28"/>
    </row>
    <row r="69" spans="1:17" x14ac:dyDescent="0.35">
      <c r="A69" s="34" t="s">
        <v>159</v>
      </c>
      <c r="B69" s="17"/>
      <c r="C69" s="33">
        <f t="shared" ref="C69:N69" si="16">IFERROR(C57*12/C$64,0)</f>
        <v>0</v>
      </c>
      <c r="D69" s="33">
        <f t="shared" si="16"/>
        <v>0</v>
      </c>
      <c r="E69" s="33">
        <f t="shared" si="16"/>
        <v>0</v>
      </c>
      <c r="F69" s="33">
        <f t="shared" si="16"/>
        <v>0</v>
      </c>
      <c r="G69" s="33">
        <f t="shared" si="16"/>
        <v>0</v>
      </c>
      <c r="H69" s="33">
        <f t="shared" si="16"/>
        <v>0</v>
      </c>
      <c r="I69" s="33">
        <f t="shared" si="16"/>
        <v>3247.6762162402397</v>
      </c>
      <c r="J69" s="33">
        <f t="shared" si="16"/>
        <v>1684.1604761201204</v>
      </c>
      <c r="K69" s="33">
        <f t="shared" si="16"/>
        <v>1162.9885627467468</v>
      </c>
      <c r="L69" s="33">
        <f t="shared" si="16"/>
        <v>902.40260606005995</v>
      </c>
      <c r="M69" s="33">
        <f t="shared" si="16"/>
        <v>746.05103204804789</v>
      </c>
      <c r="N69" s="33">
        <f t="shared" si="16"/>
        <v>641.31826869999986</v>
      </c>
      <c r="O69" s="33">
        <f>IFERROR(O57/O$64,0)</f>
        <v>1854.4012020471766</v>
      </c>
      <c r="P69" s="17"/>
      <c r="Q69" s="17"/>
    </row>
    <row r="70" spans="1:17" x14ac:dyDescent="0.35">
      <c r="A70" s="30" t="s">
        <v>160</v>
      </c>
      <c r="B70" s="17"/>
      <c r="C70" s="35">
        <f t="shared" ref="C70:N70" si="17">IFERROR(C55*12/C$64,0)</f>
        <v>0</v>
      </c>
      <c r="D70" s="35">
        <f t="shared" si="17"/>
        <v>0</v>
      </c>
      <c r="E70" s="35">
        <f t="shared" si="17"/>
        <v>0</v>
      </c>
      <c r="F70" s="35">
        <f t="shared" si="17"/>
        <v>0</v>
      </c>
      <c r="G70" s="35">
        <f t="shared" si="17"/>
        <v>0</v>
      </c>
      <c r="H70" s="35">
        <f t="shared" si="17"/>
        <v>0</v>
      </c>
      <c r="I70" s="35">
        <f t="shared" si="17"/>
        <v>2713.9872848048044</v>
      </c>
      <c r="J70" s="35">
        <f t="shared" si="17"/>
        <v>1382.1892624024024</v>
      </c>
      <c r="K70" s="35">
        <f t="shared" si="17"/>
        <v>938.25658826826816</v>
      </c>
      <c r="L70" s="35">
        <f t="shared" si="17"/>
        <v>716.29025120120116</v>
      </c>
      <c r="M70" s="35">
        <f t="shared" si="17"/>
        <v>583.11044896096087</v>
      </c>
      <c r="N70" s="35">
        <f t="shared" si="17"/>
        <v>493.9027726999999</v>
      </c>
      <c r="O70" s="33">
        <f>IFERROR(O55/O$64,0)</f>
        <v>1546.4482064045751</v>
      </c>
      <c r="P70" s="17"/>
      <c r="Q70" s="17"/>
    </row>
    <row r="71" spans="1:17" x14ac:dyDescent="0.35">
      <c r="A71" s="30" t="s">
        <v>161</v>
      </c>
      <c r="B71" s="17"/>
      <c r="C71" s="35">
        <f t="shared" ref="C71:N71" si="18">IFERROR(C56*12/C$64,0)</f>
        <v>0</v>
      </c>
      <c r="D71" s="35">
        <f t="shared" si="18"/>
        <v>0</v>
      </c>
      <c r="E71" s="35">
        <f t="shared" si="18"/>
        <v>0</v>
      </c>
      <c r="F71" s="35">
        <f t="shared" si="18"/>
        <v>0</v>
      </c>
      <c r="G71" s="35">
        <f t="shared" si="18"/>
        <v>0</v>
      </c>
      <c r="H71" s="35">
        <f t="shared" si="18"/>
        <v>0</v>
      </c>
      <c r="I71" s="35">
        <f t="shared" si="18"/>
        <v>533.68893143543539</v>
      </c>
      <c r="J71" s="35">
        <f t="shared" si="18"/>
        <v>301.97121371771772</v>
      </c>
      <c r="K71" s="35">
        <f t="shared" si="18"/>
        <v>224.73197447847846</v>
      </c>
      <c r="L71" s="35">
        <f t="shared" si="18"/>
        <v>186.11235485885885</v>
      </c>
      <c r="M71" s="35">
        <f t="shared" si="18"/>
        <v>162.94058308708705</v>
      </c>
      <c r="N71" s="35">
        <f t="shared" si="18"/>
        <v>147.41549599999999</v>
      </c>
      <c r="O71" s="33">
        <f>IFERROR(O56/O$64,0)</f>
        <v>307.95299564260182</v>
      </c>
      <c r="P71" s="17"/>
      <c r="Q71" s="17"/>
    </row>
    <row r="72" spans="1:17" x14ac:dyDescent="0.35">
      <c r="A72" s="34" t="s">
        <v>162</v>
      </c>
      <c r="B72" s="17"/>
      <c r="C72" s="33">
        <f t="shared" ref="C72:N72" si="19">IFERROR(C58*12/C$64,0)</f>
        <v>0</v>
      </c>
      <c r="D72" s="33">
        <f t="shared" si="19"/>
        <v>0</v>
      </c>
      <c r="E72" s="33">
        <f t="shared" si="19"/>
        <v>0</v>
      </c>
      <c r="F72" s="33">
        <f t="shared" si="19"/>
        <v>0</v>
      </c>
      <c r="G72" s="33">
        <f t="shared" si="19"/>
        <v>0</v>
      </c>
      <c r="H72" s="33">
        <f t="shared" si="19"/>
        <v>0</v>
      </c>
      <c r="I72" s="33">
        <f t="shared" si="19"/>
        <v>143.43597600000001</v>
      </c>
      <c r="J72" s="33">
        <f t="shared" si="19"/>
        <v>132.040356</v>
      </c>
      <c r="K72" s="33">
        <f t="shared" si="19"/>
        <v>128.241816</v>
      </c>
      <c r="L72" s="33">
        <f t="shared" si="19"/>
        <v>126.34254600000001</v>
      </c>
      <c r="M72" s="33">
        <f t="shared" si="19"/>
        <v>125.202984</v>
      </c>
      <c r="N72" s="33">
        <f t="shared" si="19"/>
        <v>124.46226870000001</v>
      </c>
      <c r="O72" s="33">
        <f>IFERROR(O58/O$64,0)</f>
        <v>127.16117345532524</v>
      </c>
      <c r="P72" s="17"/>
      <c r="Q72" s="17"/>
    </row>
    <row r="73" spans="1:17" x14ac:dyDescent="0.35">
      <c r="A73" s="17"/>
      <c r="B73" s="17"/>
      <c r="C73" s="17"/>
      <c r="D73" s="17"/>
      <c r="E73" s="17"/>
      <c r="F73" s="17"/>
      <c r="G73" s="17"/>
      <c r="H73" s="17"/>
      <c r="I73" s="17"/>
      <c r="J73" s="17"/>
      <c r="K73" s="17"/>
      <c r="L73" s="17"/>
      <c r="M73" s="17"/>
      <c r="N73" s="17"/>
      <c r="O73" s="17"/>
      <c r="P73" s="17"/>
      <c r="Q73" s="17"/>
    </row>
    <row r="74" spans="1:17" x14ac:dyDescent="0.35">
      <c r="A74" s="36" t="s">
        <v>163</v>
      </c>
      <c r="B74" s="17"/>
      <c r="C74" s="17"/>
      <c r="D74" s="17"/>
      <c r="E74" s="17"/>
      <c r="F74" s="17"/>
      <c r="G74" s="17"/>
      <c r="H74" s="17"/>
      <c r="I74" s="17"/>
      <c r="J74" s="17"/>
      <c r="K74" s="17"/>
      <c r="L74" s="17"/>
      <c r="M74" s="17"/>
      <c r="N74" s="17"/>
      <c r="O74" s="17"/>
      <c r="P74" s="17"/>
      <c r="Q74" s="17"/>
    </row>
    <row r="75" spans="1:17" x14ac:dyDescent="0.35">
      <c r="A75" s="36" t="s">
        <v>164</v>
      </c>
      <c r="B75" s="17"/>
      <c r="C75" s="17"/>
      <c r="D75" s="17"/>
      <c r="E75" s="17"/>
      <c r="F75" s="17"/>
      <c r="G75" s="17"/>
      <c r="H75" s="17"/>
      <c r="I75" s="17"/>
      <c r="J75" s="17"/>
      <c r="K75" s="17"/>
      <c r="L75" s="17"/>
      <c r="M75" s="17"/>
      <c r="N75" s="17"/>
      <c r="O75" s="17"/>
      <c r="P75" s="17"/>
      <c r="Q75" s="17"/>
    </row>
    <row r="76" spans="1:17" x14ac:dyDescent="0.35">
      <c r="A76" s="36" t="s">
        <v>165</v>
      </c>
      <c r="B76" s="17"/>
      <c r="C76" s="17"/>
      <c r="D76" s="17"/>
      <c r="E76" s="17"/>
      <c r="F76" s="17"/>
      <c r="G76" s="17"/>
      <c r="H76" s="17"/>
      <c r="I76" s="17"/>
      <c r="J76" s="17"/>
      <c r="K76" s="17"/>
      <c r="L76" s="17"/>
      <c r="M76" s="17"/>
      <c r="N76" s="17"/>
      <c r="O76" s="17"/>
      <c r="P76" s="17"/>
      <c r="Q76" s="17"/>
    </row>
    <row r="77" spans="1:17" x14ac:dyDescent="0.35">
      <c r="A77" s="17"/>
      <c r="B77" s="17"/>
      <c r="C77" s="17"/>
      <c r="D77" s="17"/>
      <c r="E77" s="17"/>
      <c r="F77" s="17"/>
      <c r="G77" s="17"/>
      <c r="H77" s="17"/>
      <c r="I77" s="17"/>
      <c r="J77" s="17"/>
      <c r="K77" s="17"/>
      <c r="L77" s="17"/>
      <c r="M77" s="17"/>
      <c r="N77" s="17"/>
      <c r="O77" s="17"/>
      <c r="P77" s="17"/>
      <c r="Q77" s="17"/>
    </row>
    <row r="78" spans="1:17" x14ac:dyDescent="0.35">
      <c r="A78" s="17"/>
      <c r="B78" s="17"/>
      <c r="C78" s="17"/>
      <c r="D78" s="17"/>
      <c r="E78" s="17"/>
      <c r="F78" s="17"/>
      <c r="G78" s="17"/>
      <c r="H78" s="17"/>
      <c r="I78" s="17"/>
      <c r="J78" s="17"/>
      <c r="K78" s="17"/>
      <c r="L78" s="17"/>
      <c r="M78" s="17"/>
      <c r="N78" s="17"/>
      <c r="O78" s="17"/>
      <c r="P78" s="17"/>
      <c r="Q78" s="17"/>
    </row>
    <row r="79" spans="1:17" x14ac:dyDescent="0.35">
      <c r="A79" s="17"/>
      <c r="B79" s="17"/>
      <c r="C79" s="17"/>
      <c r="D79" s="17"/>
      <c r="E79" s="17"/>
      <c r="F79" s="17"/>
      <c r="G79" s="17"/>
      <c r="H79" s="17"/>
      <c r="I79" s="17"/>
      <c r="J79" s="17"/>
      <c r="K79" s="17"/>
      <c r="L79" s="17"/>
      <c r="M79" s="17"/>
      <c r="N79" s="17"/>
      <c r="O79" s="17"/>
      <c r="P79" s="17"/>
      <c r="Q79" s="17"/>
    </row>
    <row r="80" spans="1:17" x14ac:dyDescent="0.35">
      <c r="A80" s="17"/>
      <c r="B80" s="17"/>
      <c r="C80" s="17"/>
      <c r="D80" s="17"/>
      <c r="E80" s="17"/>
      <c r="F80" s="17"/>
      <c r="G80" s="17"/>
      <c r="H80" s="17"/>
      <c r="I80" s="17"/>
      <c r="J80" s="17"/>
      <c r="K80" s="17"/>
      <c r="L80" s="17"/>
      <c r="M80" s="17"/>
      <c r="N80" s="17"/>
      <c r="O80" s="17"/>
      <c r="P80" s="17"/>
      <c r="Q80" s="17"/>
    </row>
    <row r="81" spans="1:17" x14ac:dyDescent="0.35">
      <c r="A81" s="17"/>
      <c r="B81" s="17"/>
      <c r="C81" s="17"/>
      <c r="D81" s="17"/>
      <c r="E81" s="17"/>
      <c r="F81" s="17"/>
      <c r="G81" s="17"/>
      <c r="H81" s="17"/>
      <c r="I81" s="17"/>
      <c r="J81" s="17"/>
      <c r="K81" s="17"/>
      <c r="L81" s="17"/>
      <c r="M81" s="17"/>
      <c r="N81" s="17"/>
      <c r="O81" s="17"/>
      <c r="P81" s="17"/>
      <c r="Q81" s="17"/>
    </row>
    <row r="82" spans="1:17" x14ac:dyDescent="0.35">
      <c r="A82" s="17"/>
      <c r="B82" s="17"/>
      <c r="C82" s="17"/>
      <c r="D82" s="17"/>
      <c r="E82" s="17"/>
      <c r="F82" s="17"/>
      <c r="G82" s="17"/>
      <c r="H82" s="17"/>
      <c r="I82" s="17"/>
      <c r="J82" s="17"/>
      <c r="K82" s="17"/>
      <c r="L82" s="17"/>
      <c r="M82" s="17"/>
      <c r="N82" s="17"/>
      <c r="O82" s="17"/>
      <c r="P82" s="17"/>
      <c r="Q82" s="17"/>
    </row>
    <row r="83" spans="1:17" x14ac:dyDescent="0.35">
      <c r="A83" s="17"/>
      <c r="B83" s="17"/>
      <c r="C83" s="17"/>
      <c r="D83" s="17"/>
      <c r="E83" s="17"/>
      <c r="F83" s="17"/>
      <c r="G83" s="17"/>
      <c r="H83" s="17"/>
      <c r="I83" s="17"/>
      <c r="J83" s="17"/>
      <c r="K83" s="17"/>
      <c r="L83" s="17"/>
      <c r="M83" s="17"/>
      <c r="N83" s="17"/>
      <c r="O83" s="17"/>
      <c r="P83" s="17"/>
      <c r="Q83" s="17"/>
    </row>
    <row r="84" spans="1:17" x14ac:dyDescent="0.35">
      <c r="A84" s="17"/>
      <c r="B84" s="17"/>
      <c r="C84" s="17"/>
      <c r="D84" s="17"/>
      <c r="E84" s="17"/>
      <c r="F84" s="17"/>
      <c r="G84" s="17"/>
      <c r="H84" s="17"/>
      <c r="I84" s="17"/>
      <c r="J84" s="17"/>
      <c r="K84" s="17"/>
      <c r="L84" s="17"/>
      <c r="M84" s="17"/>
      <c r="N84" s="17"/>
      <c r="O84" s="17"/>
      <c r="P84" s="17"/>
      <c r="Q84" s="17"/>
    </row>
    <row r="85" spans="1:17" x14ac:dyDescent="0.35">
      <c r="A85" s="17"/>
      <c r="B85" s="17"/>
      <c r="C85" s="17"/>
      <c r="D85" s="17"/>
      <c r="E85" s="17"/>
      <c r="F85" s="17"/>
      <c r="G85" s="17"/>
      <c r="H85" s="17"/>
      <c r="I85" s="17"/>
      <c r="J85" s="17"/>
      <c r="K85" s="17"/>
      <c r="L85" s="17"/>
      <c r="M85" s="17"/>
      <c r="N85" s="17"/>
      <c r="O85" s="17"/>
      <c r="P85" s="17"/>
      <c r="Q85" s="17"/>
    </row>
    <row r="86" spans="1:17" x14ac:dyDescent="0.35">
      <c r="A86" s="17"/>
      <c r="B86" s="17"/>
      <c r="C86" s="17"/>
      <c r="D86" s="17"/>
      <c r="E86" s="17"/>
      <c r="F86" s="17"/>
      <c r="G86" s="17"/>
      <c r="H86" s="17"/>
      <c r="I86" s="17"/>
      <c r="J86" s="17"/>
      <c r="K86" s="17"/>
      <c r="L86" s="17"/>
      <c r="M86" s="17"/>
      <c r="N86" s="17"/>
      <c r="O86" s="17"/>
      <c r="P86" s="17"/>
      <c r="Q86" s="17"/>
    </row>
    <row r="87" spans="1:17" x14ac:dyDescent="0.35">
      <c r="A87" s="17"/>
      <c r="B87" s="17"/>
      <c r="C87" s="17"/>
      <c r="D87" s="17"/>
      <c r="E87" s="17"/>
      <c r="F87" s="17"/>
      <c r="G87" s="17"/>
      <c r="H87" s="17"/>
      <c r="I87" s="17"/>
      <c r="J87" s="17"/>
      <c r="K87" s="17"/>
      <c r="L87" s="17"/>
      <c r="M87" s="17"/>
      <c r="N87" s="17"/>
      <c r="O87" s="17"/>
      <c r="P87" s="17"/>
      <c r="Q87" s="17"/>
    </row>
    <row r="88" spans="1:17" x14ac:dyDescent="0.35">
      <c r="A88" s="17"/>
      <c r="B88" s="17"/>
      <c r="C88" s="17"/>
      <c r="D88" s="17"/>
      <c r="E88" s="17"/>
      <c r="F88" s="17"/>
      <c r="G88" s="17"/>
      <c r="H88" s="17"/>
      <c r="I88" s="17"/>
      <c r="J88" s="17"/>
      <c r="K88" s="17"/>
      <c r="L88" s="17"/>
      <c r="M88" s="17"/>
      <c r="N88" s="17"/>
      <c r="O88" s="17"/>
      <c r="P88" s="17"/>
      <c r="Q88" s="17"/>
    </row>
    <row r="89" spans="1:17" x14ac:dyDescent="0.35">
      <c r="A89" s="17"/>
      <c r="B89" s="17"/>
      <c r="C89" s="17"/>
      <c r="D89" s="17"/>
      <c r="E89" s="17"/>
      <c r="F89" s="17"/>
      <c r="G89" s="17"/>
      <c r="H89" s="17"/>
      <c r="I89" s="17"/>
      <c r="J89" s="17"/>
      <c r="K89" s="17"/>
      <c r="L89" s="17"/>
      <c r="M89" s="17"/>
      <c r="N89" s="17"/>
      <c r="O89" s="17"/>
      <c r="P89" s="17"/>
      <c r="Q89" s="17"/>
    </row>
    <row r="90" spans="1:17" x14ac:dyDescent="0.35">
      <c r="A90" s="17"/>
      <c r="B90" s="17"/>
      <c r="C90" s="17"/>
      <c r="D90" s="17"/>
      <c r="E90" s="17"/>
      <c r="F90" s="17"/>
      <c r="G90" s="17"/>
      <c r="H90" s="17"/>
      <c r="I90" s="17"/>
      <c r="J90" s="17"/>
      <c r="K90" s="17"/>
      <c r="L90" s="17"/>
      <c r="M90" s="17"/>
      <c r="N90" s="17"/>
      <c r="O90" s="17"/>
      <c r="P90" s="17"/>
      <c r="Q90" s="17"/>
    </row>
    <row r="91" spans="1:17" x14ac:dyDescent="0.35">
      <c r="A91" s="17"/>
      <c r="B91" s="17"/>
      <c r="C91" s="17"/>
      <c r="D91" s="17"/>
      <c r="E91" s="17"/>
      <c r="F91" s="17"/>
      <c r="G91" s="17"/>
      <c r="H91" s="17"/>
      <c r="I91" s="17"/>
      <c r="J91" s="17"/>
      <c r="K91" s="17"/>
      <c r="L91" s="17"/>
      <c r="M91" s="17"/>
      <c r="N91" s="17"/>
      <c r="O91" s="17"/>
      <c r="P91" s="17"/>
      <c r="Q91" s="17"/>
    </row>
    <row r="92" spans="1:17" x14ac:dyDescent="0.35">
      <c r="A92" s="17"/>
      <c r="B92" s="17"/>
      <c r="C92" s="17"/>
      <c r="D92" s="17"/>
      <c r="E92" s="17"/>
      <c r="F92" s="17"/>
      <c r="G92" s="17"/>
      <c r="H92" s="17"/>
      <c r="I92" s="17"/>
      <c r="J92" s="17"/>
      <c r="K92" s="17"/>
      <c r="L92" s="17"/>
      <c r="M92" s="17"/>
      <c r="N92" s="17"/>
      <c r="O92" s="17"/>
      <c r="P92" s="17"/>
      <c r="Q92" s="17"/>
    </row>
    <row r="93" spans="1:17" x14ac:dyDescent="0.35">
      <c r="A93" s="17"/>
      <c r="B93" s="17"/>
      <c r="C93" s="17"/>
      <c r="D93" s="17"/>
      <c r="E93" s="17"/>
      <c r="F93" s="17"/>
      <c r="G93" s="17"/>
      <c r="H93" s="17"/>
      <c r="I93" s="17"/>
      <c r="J93" s="17"/>
      <c r="K93" s="17"/>
      <c r="L93" s="17"/>
      <c r="M93" s="17"/>
      <c r="N93" s="17"/>
      <c r="O93" s="17"/>
      <c r="P93" s="17"/>
      <c r="Q93" s="17"/>
    </row>
    <row r="94" spans="1:17" x14ac:dyDescent="0.35">
      <c r="A94" s="17"/>
      <c r="B94" s="17"/>
      <c r="C94" s="17"/>
      <c r="D94" s="17"/>
      <c r="E94" s="17"/>
      <c r="F94" s="17"/>
      <c r="G94" s="17"/>
      <c r="H94" s="17"/>
      <c r="I94" s="17"/>
      <c r="J94" s="17"/>
      <c r="K94" s="17"/>
      <c r="L94" s="17"/>
      <c r="M94" s="17"/>
      <c r="N94" s="17"/>
      <c r="O94" s="17"/>
      <c r="P94" s="17"/>
      <c r="Q94" s="17"/>
    </row>
    <row r="95" spans="1:17" x14ac:dyDescent="0.35">
      <c r="A95" s="17"/>
      <c r="B95" s="17"/>
      <c r="C95" s="17"/>
      <c r="D95" s="17"/>
      <c r="E95" s="17"/>
      <c r="F95" s="17"/>
      <c r="G95" s="17"/>
      <c r="H95" s="17"/>
      <c r="I95" s="17"/>
      <c r="J95" s="17"/>
      <c r="K95" s="17"/>
      <c r="L95" s="17"/>
      <c r="M95" s="17"/>
      <c r="N95" s="17"/>
      <c r="O95" s="17"/>
      <c r="P95" s="17"/>
      <c r="Q95" s="17"/>
    </row>
    <row r="96" spans="1:17" x14ac:dyDescent="0.35">
      <c r="A96" s="17"/>
      <c r="B96" s="17"/>
      <c r="C96" s="17"/>
      <c r="D96" s="17"/>
      <c r="E96" s="17"/>
      <c r="F96" s="17"/>
      <c r="G96" s="17"/>
      <c r="H96" s="17"/>
      <c r="I96" s="17"/>
      <c r="J96" s="17"/>
      <c r="K96" s="17"/>
      <c r="L96" s="17"/>
      <c r="M96" s="17"/>
      <c r="N96" s="17"/>
      <c r="O96" s="17"/>
      <c r="P96" s="17"/>
      <c r="Q96" s="17"/>
    </row>
    <row r="97" spans="1:17" x14ac:dyDescent="0.35">
      <c r="A97" s="17"/>
      <c r="B97" s="17"/>
      <c r="C97" s="17"/>
      <c r="D97" s="17"/>
      <c r="E97" s="17"/>
      <c r="F97" s="17"/>
      <c r="G97" s="17"/>
      <c r="H97" s="17"/>
      <c r="I97" s="17"/>
      <c r="J97" s="17"/>
      <c r="K97" s="17"/>
      <c r="L97" s="17"/>
      <c r="M97" s="17"/>
      <c r="N97" s="17"/>
      <c r="O97" s="17"/>
      <c r="P97" s="17"/>
      <c r="Q97" s="17"/>
    </row>
    <row r="98" spans="1:17" x14ac:dyDescent="0.35">
      <c r="A98" s="17"/>
      <c r="B98" s="17"/>
      <c r="C98" s="17"/>
      <c r="D98" s="17"/>
      <c r="E98" s="17"/>
      <c r="F98" s="17"/>
      <c r="G98" s="17"/>
      <c r="H98" s="17"/>
      <c r="I98" s="17"/>
      <c r="J98" s="17"/>
      <c r="K98" s="17"/>
      <c r="L98" s="17"/>
      <c r="M98" s="17"/>
      <c r="N98" s="17"/>
      <c r="O98" s="17"/>
      <c r="P98" s="17"/>
      <c r="Q98" s="17"/>
    </row>
    <row r="99" spans="1:17" x14ac:dyDescent="0.35">
      <c r="A99" s="17"/>
      <c r="B99" s="17"/>
      <c r="C99" s="17"/>
      <c r="D99" s="17"/>
      <c r="E99" s="17"/>
      <c r="F99" s="17"/>
      <c r="G99" s="17"/>
      <c r="H99" s="17"/>
      <c r="I99" s="17"/>
      <c r="J99" s="17"/>
      <c r="K99" s="17"/>
      <c r="L99" s="17"/>
      <c r="M99" s="17"/>
      <c r="N99" s="17"/>
      <c r="O99" s="17"/>
      <c r="P99" s="17"/>
      <c r="Q99" s="17"/>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5"/>
  <sheetViews>
    <sheetView showGridLines="0" zoomScaleNormal="100" workbookViewId="0">
      <pane xSplit="2" ySplit="5" topLeftCell="C6" activePane="bottomRight" state="frozen"/>
      <selection pane="topRight" activeCell="C1" sqref="C1"/>
      <selection pane="bottomLeft" activeCell="A6" sqref="A6"/>
      <selection pane="bottomRight" activeCell="C17" sqref="C17"/>
    </sheetView>
  </sheetViews>
  <sheetFormatPr defaultColWidth="8.6328125" defaultRowHeight="14.5" x14ac:dyDescent="0.35"/>
  <cols>
    <col min="1" max="1" width="46" customWidth="1"/>
    <col min="2" max="2" width="18" customWidth="1"/>
    <col min="3" max="14" width="10" customWidth="1"/>
    <col min="15" max="15" width="12" customWidth="1"/>
    <col min="16" max="16" width="60" customWidth="1"/>
  </cols>
  <sheetData>
    <row r="1" spans="1:16" ht="18" customHeight="1" x14ac:dyDescent="0.4">
      <c r="A1" s="3" t="s">
        <v>166</v>
      </c>
      <c r="B1" s="2"/>
      <c r="C1" s="2"/>
      <c r="D1" s="2"/>
      <c r="E1" s="2"/>
      <c r="F1" s="2"/>
      <c r="G1" s="2"/>
      <c r="H1" s="2"/>
      <c r="I1" s="2"/>
      <c r="J1" s="2"/>
      <c r="K1" s="2"/>
      <c r="L1" s="2"/>
      <c r="M1" s="2"/>
      <c r="N1" s="2"/>
      <c r="O1" s="2"/>
      <c r="P1" s="2"/>
    </row>
    <row r="2" spans="1:16" x14ac:dyDescent="0.35">
      <c r="A2" s="4" t="s">
        <v>167</v>
      </c>
      <c r="B2" s="2"/>
      <c r="C2" s="2"/>
      <c r="D2" s="2"/>
      <c r="E2" s="2"/>
      <c r="F2" s="2"/>
      <c r="G2" s="2"/>
      <c r="H2" s="2"/>
      <c r="I2" s="2"/>
      <c r="J2" s="2"/>
      <c r="K2" s="2"/>
      <c r="L2" s="2"/>
      <c r="M2" s="2"/>
      <c r="N2" s="2"/>
      <c r="O2" s="2"/>
      <c r="P2" s="2"/>
    </row>
    <row r="3" spans="1:16" x14ac:dyDescent="0.35">
      <c r="A3" s="2"/>
      <c r="B3" s="2"/>
      <c r="C3" s="2"/>
      <c r="D3" s="2"/>
      <c r="E3" s="2"/>
      <c r="F3" s="2"/>
      <c r="G3" s="2"/>
      <c r="H3" s="2"/>
      <c r="I3" s="2"/>
      <c r="J3" s="2"/>
      <c r="K3" s="2"/>
      <c r="L3" s="2"/>
      <c r="M3" s="2"/>
      <c r="N3" s="2"/>
      <c r="O3" s="2"/>
      <c r="P3" s="2"/>
    </row>
    <row r="4" spans="1:16" x14ac:dyDescent="0.35">
      <c r="A4" s="15" t="s">
        <v>168</v>
      </c>
      <c r="B4" s="16"/>
      <c r="C4" s="16"/>
      <c r="D4" s="16"/>
      <c r="E4" s="16"/>
      <c r="F4" s="16"/>
      <c r="G4" s="16"/>
      <c r="H4" s="16"/>
      <c r="I4" s="16"/>
      <c r="J4" s="16"/>
      <c r="K4" s="16"/>
      <c r="L4" s="16"/>
      <c r="M4" s="16"/>
      <c r="N4" s="16"/>
      <c r="O4" s="16"/>
      <c r="P4" s="16"/>
    </row>
    <row r="5" spans="1:16" x14ac:dyDescent="0.35">
      <c r="A5" s="13" t="s">
        <v>169</v>
      </c>
      <c r="B5" s="13" t="s">
        <v>170</v>
      </c>
      <c r="C5" s="14" t="s">
        <v>96</v>
      </c>
      <c r="D5" s="14" t="s">
        <v>97</v>
      </c>
      <c r="E5" s="14" t="s">
        <v>98</v>
      </c>
      <c r="F5" s="14" t="s">
        <v>99</v>
      </c>
      <c r="G5" s="14" t="s">
        <v>100</v>
      </c>
      <c r="H5" s="14" t="s">
        <v>101</v>
      </c>
      <c r="I5" s="14" t="s">
        <v>102</v>
      </c>
      <c r="J5" s="14" t="s">
        <v>103</v>
      </c>
      <c r="K5" s="14" t="s">
        <v>104</v>
      </c>
      <c r="L5" s="14" t="s">
        <v>105</v>
      </c>
      <c r="M5" s="14" t="s">
        <v>106</v>
      </c>
      <c r="N5" s="14" t="s">
        <v>107</v>
      </c>
      <c r="O5" s="14" t="s">
        <v>108</v>
      </c>
      <c r="P5" s="14" t="s">
        <v>171</v>
      </c>
    </row>
    <row r="6" spans="1:16" x14ac:dyDescent="0.35">
      <c r="A6" s="17" t="s">
        <v>154</v>
      </c>
      <c r="B6" s="2" t="s">
        <v>172</v>
      </c>
      <c r="C6" s="37">
        <v>0</v>
      </c>
      <c r="D6" s="37">
        <v>0</v>
      </c>
      <c r="E6" s="37">
        <v>0</v>
      </c>
      <c r="F6" s="37">
        <v>0</v>
      </c>
      <c r="G6" s="37">
        <v>0</v>
      </c>
      <c r="H6" s="37">
        <v>0</v>
      </c>
      <c r="I6" s="37">
        <v>333</v>
      </c>
      <c r="J6" s="37">
        <v>333</v>
      </c>
      <c r="K6" s="37">
        <v>333</v>
      </c>
      <c r="L6" s="37">
        <v>333</v>
      </c>
      <c r="M6" s="37">
        <v>333</v>
      </c>
      <c r="N6" s="37">
        <v>335</v>
      </c>
      <c r="O6" s="24">
        <f>SUM(C6:N6)</f>
        <v>2000</v>
      </c>
      <c r="P6" s="4" t="s">
        <v>173</v>
      </c>
    </row>
    <row r="7" spans="1:16" x14ac:dyDescent="0.35">
      <c r="A7" s="17" t="s">
        <v>132</v>
      </c>
      <c r="B7" s="2" t="s">
        <v>174</v>
      </c>
      <c r="C7" s="37">
        <v>1</v>
      </c>
      <c r="D7" s="37">
        <v>1</v>
      </c>
      <c r="E7" s="37">
        <v>1</v>
      </c>
      <c r="F7" s="37">
        <v>1</v>
      </c>
      <c r="G7" s="37">
        <v>3</v>
      </c>
      <c r="H7" s="37">
        <v>3</v>
      </c>
      <c r="I7" s="37">
        <v>3</v>
      </c>
      <c r="J7" s="37">
        <v>3</v>
      </c>
      <c r="K7" s="37">
        <v>3</v>
      </c>
      <c r="L7" s="37">
        <v>3</v>
      </c>
      <c r="M7" s="37">
        <v>3</v>
      </c>
      <c r="N7" s="37">
        <v>3</v>
      </c>
      <c r="O7" s="2"/>
      <c r="P7" s="4" t="s">
        <v>175</v>
      </c>
    </row>
    <row r="8" spans="1:16" x14ac:dyDescent="0.35">
      <c r="A8" s="2"/>
      <c r="B8" s="2"/>
      <c r="C8" s="2"/>
      <c r="D8" s="2"/>
      <c r="E8" s="2"/>
      <c r="F8" s="2"/>
      <c r="G8" s="2"/>
      <c r="H8" s="2"/>
      <c r="I8" s="2"/>
      <c r="J8" s="2"/>
      <c r="K8" s="2"/>
      <c r="L8" s="2"/>
      <c r="M8" s="2"/>
      <c r="N8" s="2"/>
      <c r="O8" s="2"/>
      <c r="P8" s="2"/>
    </row>
    <row r="9" spans="1:16" x14ac:dyDescent="0.35">
      <c r="A9" s="15" t="s">
        <v>176</v>
      </c>
      <c r="B9" s="16"/>
      <c r="C9" s="16"/>
      <c r="D9" s="16"/>
      <c r="E9" s="16"/>
      <c r="F9" s="16"/>
      <c r="G9" s="16"/>
      <c r="H9" s="16"/>
      <c r="I9" s="16"/>
      <c r="J9" s="16"/>
      <c r="K9" s="16"/>
      <c r="L9" s="16"/>
      <c r="M9" s="16"/>
      <c r="N9" s="16"/>
      <c r="O9" s="16"/>
      <c r="P9" s="16"/>
    </row>
    <row r="10" spans="1:16" ht="15" customHeight="1" x14ac:dyDescent="0.35">
      <c r="A10" s="13" t="s">
        <v>169</v>
      </c>
      <c r="B10" s="13" t="s">
        <v>170</v>
      </c>
      <c r="C10" s="14" t="s">
        <v>177</v>
      </c>
      <c r="D10" s="1" t="s">
        <v>171</v>
      </c>
      <c r="E10" s="1"/>
      <c r="F10" s="1"/>
      <c r="G10" s="1"/>
      <c r="H10" s="1"/>
      <c r="I10" s="1"/>
      <c r="J10" s="1"/>
      <c r="K10" s="1"/>
      <c r="L10" s="1"/>
      <c r="M10" s="1"/>
      <c r="N10" s="1"/>
      <c r="O10" s="1"/>
      <c r="P10" s="1"/>
    </row>
    <row r="11" spans="1:16" x14ac:dyDescent="0.35">
      <c r="A11" s="38" t="s">
        <v>178</v>
      </c>
      <c r="B11" s="2"/>
      <c r="C11" s="2"/>
      <c r="D11" s="2"/>
      <c r="E11" s="2"/>
      <c r="F11" s="2"/>
      <c r="G11" s="2"/>
      <c r="H11" s="2"/>
      <c r="I11" s="2"/>
      <c r="J11" s="2"/>
      <c r="K11" s="2"/>
      <c r="L11" s="2"/>
      <c r="M11" s="2"/>
      <c r="N11" s="2"/>
      <c r="O11" s="2"/>
      <c r="P11" s="2"/>
    </row>
    <row r="12" spans="1:16" x14ac:dyDescent="0.35">
      <c r="A12" s="17" t="s">
        <v>179</v>
      </c>
      <c r="B12" s="39" t="s">
        <v>172</v>
      </c>
      <c r="C12" s="37">
        <v>2000</v>
      </c>
      <c r="D12" s="4" t="s">
        <v>180</v>
      </c>
      <c r="E12" s="2"/>
      <c r="F12" s="2"/>
      <c r="G12" s="2"/>
      <c r="H12" s="2"/>
      <c r="I12" s="2"/>
      <c r="J12" s="2"/>
      <c r="K12" s="2"/>
      <c r="L12" s="2"/>
      <c r="M12" s="2"/>
      <c r="N12" s="2"/>
      <c r="O12" s="2"/>
      <c r="P12" s="2"/>
    </row>
    <row r="13" spans="1:16" x14ac:dyDescent="0.35">
      <c r="A13" s="17" t="s">
        <v>181</v>
      </c>
      <c r="B13" s="39" t="s">
        <v>172</v>
      </c>
      <c r="C13" s="29">
        <f>O6</f>
        <v>2000</v>
      </c>
      <c r="D13" s="4" t="s">
        <v>182</v>
      </c>
      <c r="E13" s="2"/>
      <c r="F13" s="2"/>
      <c r="G13" s="2"/>
      <c r="H13" s="2"/>
      <c r="I13" s="2"/>
      <c r="J13" s="2"/>
      <c r="K13" s="2"/>
      <c r="L13" s="2"/>
      <c r="M13" s="2"/>
      <c r="N13" s="2"/>
      <c r="O13" s="2"/>
      <c r="P13" s="2"/>
    </row>
    <row r="14" spans="1:16" x14ac:dyDescent="0.35">
      <c r="A14" s="17" t="s">
        <v>183</v>
      </c>
      <c r="B14" s="39" t="s">
        <v>172</v>
      </c>
      <c r="C14" s="29">
        <f>$C$13-$C$12</f>
        <v>0</v>
      </c>
      <c r="D14" s="4" t="s">
        <v>184</v>
      </c>
      <c r="E14" s="2"/>
      <c r="F14" s="2"/>
      <c r="G14" s="2"/>
      <c r="H14" s="2"/>
      <c r="I14" s="2"/>
      <c r="J14" s="2"/>
      <c r="K14" s="2"/>
      <c r="L14" s="2"/>
      <c r="M14" s="2"/>
      <c r="N14" s="2"/>
      <c r="O14" s="2"/>
      <c r="P14" s="2"/>
    </row>
    <row r="15" spans="1:16" x14ac:dyDescent="0.35">
      <c r="A15" s="2"/>
      <c r="B15" s="2"/>
      <c r="C15" s="2"/>
      <c r="D15" s="2"/>
      <c r="E15" s="2"/>
      <c r="F15" s="2"/>
      <c r="G15" s="2"/>
      <c r="H15" s="2"/>
      <c r="I15" s="2"/>
      <c r="J15" s="2"/>
      <c r="K15" s="2"/>
      <c r="L15" s="2"/>
      <c r="M15" s="2"/>
      <c r="N15" s="2"/>
      <c r="O15" s="2"/>
      <c r="P15" s="2"/>
    </row>
    <row r="16" spans="1:16" x14ac:dyDescent="0.35">
      <c r="A16" s="38" t="s">
        <v>185</v>
      </c>
      <c r="B16" s="2"/>
      <c r="C16" s="2"/>
      <c r="D16" s="2"/>
      <c r="E16" s="2"/>
      <c r="F16" s="2"/>
      <c r="G16" s="2"/>
      <c r="H16" s="2"/>
      <c r="I16" s="2"/>
      <c r="J16" s="2"/>
      <c r="K16" s="2"/>
      <c r="L16" s="2"/>
      <c r="M16" s="2"/>
      <c r="N16" s="2"/>
      <c r="O16" s="2"/>
      <c r="P16" s="2"/>
    </row>
    <row r="17" spans="1:16" x14ac:dyDescent="0.35">
      <c r="A17" s="17" t="s">
        <v>186</v>
      </c>
      <c r="B17" s="39" t="s">
        <v>187</v>
      </c>
      <c r="C17" s="40">
        <v>1</v>
      </c>
      <c r="D17" s="4" t="s">
        <v>188</v>
      </c>
      <c r="E17" s="2"/>
      <c r="F17" s="2"/>
      <c r="G17" s="2"/>
      <c r="H17" s="2"/>
      <c r="I17" s="2"/>
      <c r="J17" s="2"/>
      <c r="K17" s="2"/>
      <c r="L17" s="2"/>
      <c r="M17" s="2"/>
      <c r="N17" s="2"/>
      <c r="O17" s="2"/>
      <c r="P17" s="2"/>
    </row>
    <row r="18" spans="1:16" x14ac:dyDescent="0.35">
      <c r="A18" s="17" t="s">
        <v>189</v>
      </c>
      <c r="B18" s="39" t="s">
        <v>187</v>
      </c>
      <c r="C18" s="40">
        <v>1</v>
      </c>
      <c r="D18" s="4" t="s">
        <v>190</v>
      </c>
      <c r="E18" s="2"/>
      <c r="F18" s="2"/>
      <c r="G18" s="2"/>
      <c r="H18" s="2"/>
      <c r="I18" s="2"/>
      <c r="J18" s="2"/>
      <c r="K18" s="2"/>
      <c r="L18" s="2"/>
      <c r="M18" s="2"/>
      <c r="N18" s="2"/>
      <c r="O18" s="2"/>
      <c r="P18" s="2"/>
    </row>
    <row r="19" spans="1:16" x14ac:dyDescent="0.35">
      <c r="A19" s="17" t="s">
        <v>191</v>
      </c>
      <c r="B19" s="39" t="s">
        <v>192</v>
      </c>
      <c r="C19" s="40">
        <v>100</v>
      </c>
      <c r="D19" s="4" t="s">
        <v>193</v>
      </c>
      <c r="E19" s="2"/>
      <c r="F19" s="2"/>
      <c r="G19" s="2"/>
      <c r="H19" s="2"/>
      <c r="I19" s="2"/>
      <c r="J19" s="2"/>
      <c r="K19" s="2"/>
      <c r="L19" s="2"/>
      <c r="M19" s="2"/>
      <c r="N19" s="2"/>
      <c r="O19" s="2"/>
      <c r="P19" s="2"/>
    </row>
    <row r="20" spans="1:16" x14ac:dyDescent="0.35">
      <c r="A20" s="17" t="s">
        <v>194</v>
      </c>
      <c r="B20" s="39" t="s">
        <v>195</v>
      </c>
      <c r="C20" s="41">
        <v>0.77</v>
      </c>
      <c r="D20" s="4" t="s">
        <v>169</v>
      </c>
      <c r="E20" s="2"/>
      <c r="F20" s="2"/>
      <c r="G20" s="2"/>
      <c r="H20" s="2"/>
      <c r="I20" s="2"/>
      <c r="J20" s="2"/>
      <c r="K20" s="2"/>
      <c r="L20" s="2"/>
      <c r="M20" s="2"/>
      <c r="N20" s="2"/>
      <c r="O20" s="2"/>
      <c r="P20" s="2"/>
    </row>
    <row r="21" spans="1:16" x14ac:dyDescent="0.35">
      <c r="A21" s="17" t="s">
        <v>196</v>
      </c>
      <c r="B21" s="39" t="s">
        <v>195</v>
      </c>
      <c r="C21" s="42">
        <f>1-$C$20</f>
        <v>0.22999999999999998</v>
      </c>
      <c r="D21" s="4" t="s">
        <v>197</v>
      </c>
      <c r="E21" s="2"/>
      <c r="F21" s="2"/>
      <c r="G21" s="2"/>
      <c r="H21" s="2"/>
      <c r="I21" s="2"/>
      <c r="J21" s="2"/>
      <c r="K21" s="2"/>
      <c r="L21" s="2"/>
      <c r="M21" s="2"/>
      <c r="N21" s="2"/>
      <c r="O21" s="2"/>
      <c r="P21" s="2"/>
    </row>
    <row r="22" spans="1:16" x14ac:dyDescent="0.35">
      <c r="A22" s="2"/>
      <c r="B22" s="2"/>
      <c r="C22" s="2"/>
      <c r="D22" s="2"/>
      <c r="E22" s="2"/>
      <c r="F22" s="2"/>
      <c r="G22" s="2"/>
      <c r="H22" s="2"/>
      <c r="I22" s="2"/>
      <c r="J22" s="2"/>
      <c r="K22" s="2"/>
      <c r="L22" s="2"/>
      <c r="M22" s="2"/>
      <c r="N22" s="2"/>
      <c r="O22" s="2"/>
      <c r="P22" s="2"/>
    </row>
    <row r="23" spans="1:16" x14ac:dyDescent="0.35">
      <c r="A23" s="38" t="s">
        <v>198</v>
      </c>
      <c r="B23" s="2"/>
      <c r="C23" s="2"/>
      <c r="D23" s="2"/>
      <c r="E23" s="2"/>
      <c r="F23" s="2"/>
      <c r="G23" s="2"/>
      <c r="H23" s="2"/>
      <c r="I23" s="2"/>
      <c r="J23" s="2"/>
      <c r="K23" s="2"/>
      <c r="L23" s="2"/>
      <c r="M23" s="2"/>
      <c r="N23" s="2"/>
      <c r="O23" s="2"/>
      <c r="P23" s="2"/>
    </row>
    <row r="24" spans="1:16" x14ac:dyDescent="0.35">
      <c r="A24" s="17" t="s">
        <v>199</v>
      </c>
      <c r="B24" s="39" t="s">
        <v>200</v>
      </c>
      <c r="C24" s="40">
        <v>0.35</v>
      </c>
      <c r="D24" s="4" t="s">
        <v>201</v>
      </c>
      <c r="E24" s="2"/>
      <c r="F24" s="2"/>
      <c r="G24" s="2"/>
      <c r="H24" s="2"/>
      <c r="I24" s="2"/>
      <c r="J24" s="2"/>
      <c r="K24" s="2"/>
      <c r="L24" s="2"/>
      <c r="M24" s="2"/>
      <c r="N24" s="2"/>
      <c r="O24" s="2"/>
      <c r="P24" s="2"/>
    </row>
    <row r="25" spans="1:16" x14ac:dyDescent="0.35">
      <c r="A25" s="17" t="s">
        <v>202</v>
      </c>
      <c r="B25" s="39" t="s">
        <v>203</v>
      </c>
      <c r="C25" s="43">
        <v>0</v>
      </c>
      <c r="D25" s="4" t="s">
        <v>204</v>
      </c>
      <c r="E25" s="2"/>
      <c r="F25" s="2"/>
      <c r="G25" s="2"/>
      <c r="H25" s="2"/>
      <c r="I25" s="2"/>
      <c r="J25" s="2"/>
      <c r="K25" s="2"/>
      <c r="L25" s="2"/>
      <c r="M25" s="2"/>
      <c r="N25" s="2"/>
      <c r="O25" s="2"/>
      <c r="P25" s="2"/>
    </row>
    <row r="26" spans="1:16" x14ac:dyDescent="0.35">
      <c r="A26" s="17" t="s">
        <v>205</v>
      </c>
      <c r="B26" s="39" t="s">
        <v>200</v>
      </c>
      <c r="C26" s="40">
        <v>0</v>
      </c>
      <c r="D26" s="4" t="s">
        <v>206</v>
      </c>
      <c r="E26" s="2"/>
      <c r="F26" s="2"/>
      <c r="G26" s="2"/>
      <c r="H26" s="2"/>
      <c r="I26" s="2"/>
      <c r="J26" s="2"/>
      <c r="K26" s="2"/>
      <c r="L26" s="2"/>
      <c r="M26" s="2"/>
      <c r="N26" s="2"/>
      <c r="O26" s="2"/>
      <c r="P26" s="2"/>
    </row>
    <row r="27" spans="1:16" x14ac:dyDescent="0.35">
      <c r="A27" s="17" t="s">
        <v>207</v>
      </c>
      <c r="B27" s="39" t="s">
        <v>200</v>
      </c>
      <c r="C27" s="35">
        <f>IF($C$26&gt;0,MIN($C$24+$C$25*$C$19,$C$26),$C$24+$C$25*$C$19)</f>
        <v>0.35</v>
      </c>
      <c r="D27" s="4" t="s">
        <v>208</v>
      </c>
      <c r="E27" s="2"/>
      <c r="F27" s="2"/>
      <c r="G27" s="2"/>
      <c r="H27" s="2"/>
      <c r="I27" s="2"/>
      <c r="J27" s="2"/>
      <c r="K27" s="2"/>
      <c r="L27" s="2"/>
      <c r="M27" s="2"/>
      <c r="N27" s="2"/>
      <c r="O27" s="2"/>
      <c r="P27" s="2"/>
    </row>
    <row r="28" spans="1:16" x14ac:dyDescent="0.35">
      <c r="A28" s="17" t="s">
        <v>209</v>
      </c>
      <c r="B28" s="39" t="s">
        <v>210</v>
      </c>
      <c r="C28" s="40">
        <v>3.5</v>
      </c>
      <c r="D28" s="4" t="s">
        <v>211</v>
      </c>
      <c r="E28" s="2"/>
      <c r="F28" s="2"/>
      <c r="G28" s="2"/>
      <c r="H28" s="2"/>
      <c r="I28" s="2"/>
      <c r="J28" s="2"/>
      <c r="K28" s="2"/>
      <c r="L28" s="2"/>
      <c r="M28" s="2"/>
      <c r="N28" s="2"/>
      <c r="O28" s="2"/>
      <c r="P28" s="2"/>
    </row>
    <row r="29" spans="1:16" x14ac:dyDescent="0.35">
      <c r="A29" s="17" t="s">
        <v>212</v>
      </c>
      <c r="B29" s="39" t="s">
        <v>203</v>
      </c>
      <c r="C29" s="43">
        <v>1.7000000000000001E-2</v>
      </c>
      <c r="D29" s="4" t="s">
        <v>213</v>
      </c>
      <c r="E29" s="2"/>
      <c r="F29" s="2"/>
      <c r="G29" s="2"/>
      <c r="H29" s="2"/>
      <c r="I29" s="2"/>
      <c r="J29" s="2"/>
      <c r="K29" s="2"/>
      <c r="L29" s="2"/>
      <c r="M29" s="2"/>
      <c r="N29" s="2"/>
      <c r="O29" s="2"/>
      <c r="P29" s="2"/>
    </row>
    <row r="30" spans="1:16" x14ac:dyDescent="0.35">
      <c r="A30" s="17" t="s">
        <v>214</v>
      </c>
      <c r="B30" s="39" t="s">
        <v>200</v>
      </c>
      <c r="C30" s="40">
        <v>0.25</v>
      </c>
      <c r="D30" s="4" t="s">
        <v>211</v>
      </c>
      <c r="E30" s="2"/>
      <c r="F30" s="2"/>
      <c r="G30" s="2"/>
      <c r="H30" s="2"/>
      <c r="I30" s="2"/>
      <c r="J30" s="2"/>
      <c r="K30" s="2"/>
      <c r="L30" s="2"/>
      <c r="M30" s="2"/>
      <c r="N30" s="2"/>
      <c r="O30" s="2"/>
      <c r="P30" s="2"/>
    </row>
    <row r="31" spans="1:16" x14ac:dyDescent="0.35">
      <c r="A31" s="17" t="s">
        <v>215</v>
      </c>
      <c r="B31" s="39" t="s">
        <v>200</v>
      </c>
      <c r="C31" s="35">
        <f>$C$30+$C$29*$C$19</f>
        <v>1.9500000000000002</v>
      </c>
      <c r="D31" s="4" t="s">
        <v>216</v>
      </c>
      <c r="E31" s="2"/>
      <c r="F31" s="2"/>
      <c r="G31" s="2"/>
      <c r="H31" s="2"/>
      <c r="I31" s="2"/>
      <c r="J31" s="2"/>
      <c r="K31" s="2"/>
      <c r="L31" s="2"/>
      <c r="M31" s="2"/>
      <c r="N31" s="2"/>
      <c r="O31" s="2"/>
      <c r="P31" s="2"/>
    </row>
    <row r="32" spans="1:16" x14ac:dyDescent="0.35">
      <c r="A32" s="17" t="s">
        <v>217</v>
      </c>
      <c r="B32" s="39" t="s">
        <v>218</v>
      </c>
      <c r="C32" s="43">
        <v>7.0000000000000001E-3</v>
      </c>
      <c r="D32" s="4" t="s">
        <v>219</v>
      </c>
      <c r="E32" s="2"/>
      <c r="F32" s="2"/>
      <c r="G32" s="2"/>
      <c r="H32" s="2"/>
      <c r="I32" s="2"/>
      <c r="J32" s="2"/>
      <c r="K32" s="2"/>
      <c r="L32" s="2"/>
      <c r="M32" s="2"/>
      <c r="N32" s="2"/>
      <c r="O32" s="2"/>
      <c r="P32" s="2"/>
    </row>
    <row r="33" spans="1:16" x14ac:dyDescent="0.35">
      <c r="A33" s="2"/>
      <c r="B33" s="2"/>
      <c r="C33" s="2"/>
      <c r="D33" s="2"/>
      <c r="E33" s="2"/>
      <c r="F33" s="2"/>
      <c r="G33" s="2"/>
      <c r="H33" s="2"/>
      <c r="I33" s="2"/>
      <c r="J33" s="2"/>
      <c r="K33" s="2"/>
      <c r="L33" s="2"/>
      <c r="M33" s="2"/>
      <c r="N33" s="2"/>
      <c r="O33" s="2"/>
      <c r="P33" s="2"/>
    </row>
    <row r="34" spans="1:16" x14ac:dyDescent="0.35">
      <c r="A34" s="38" t="s">
        <v>220</v>
      </c>
      <c r="B34" s="2"/>
      <c r="C34" s="2"/>
      <c r="D34" s="2"/>
      <c r="E34" s="2"/>
      <c r="F34" s="2"/>
      <c r="G34" s="2"/>
      <c r="H34" s="2"/>
      <c r="I34" s="2"/>
      <c r="J34" s="2"/>
      <c r="K34" s="2"/>
      <c r="L34" s="2"/>
      <c r="M34" s="2"/>
      <c r="N34" s="2"/>
      <c r="O34" s="2"/>
      <c r="P34" s="2"/>
    </row>
    <row r="35" spans="1:16" x14ac:dyDescent="0.35">
      <c r="A35" s="17" t="s">
        <v>221</v>
      </c>
      <c r="B35" s="39" t="s">
        <v>222</v>
      </c>
      <c r="C35" s="41">
        <v>0.05</v>
      </c>
      <c r="D35" s="4" t="s">
        <v>169</v>
      </c>
      <c r="E35" s="2"/>
      <c r="F35" s="2"/>
      <c r="G35" s="2"/>
      <c r="H35" s="2"/>
      <c r="I35" s="2"/>
      <c r="J35" s="2"/>
      <c r="K35" s="2"/>
      <c r="L35" s="2"/>
      <c r="M35" s="2"/>
      <c r="N35" s="2"/>
      <c r="O35" s="2"/>
      <c r="P35" s="2"/>
    </row>
    <row r="36" spans="1:16" x14ac:dyDescent="0.35">
      <c r="A36" s="17" t="s">
        <v>223</v>
      </c>
      <c r="B36" s="39" t="s">
        <v>224</v>
      </c>
      <c r="C36" s="41">
        <v>0.01</v>
      </c>
      <c r="D36" s="4" t="s">
        <v>169</v>
      </c>
      <c r="E36" s="2"/>
      <c r="F36" s="2"/>
      <c r="G36" s="2"/>
      <c r="H36" s="2"/>
      <c r="I36" s="2"/>
      <c r="J36" s="2"/>
      <c r="K36" s="2"/>
      <c r="L36" s="2"/>
      <c r="M36" s="2"/>
      <c r="N36" s="2"/>
      <c r="O36" s="2"/>
      <c r="P36" s="2"/>
    </row>
    <row r="37" spans="1:16" x14ac:dyDescent="0.35">
      <c r="A37" s="17" t="s">
        <v>225</v>
      </c>
      <c r="B37" s="39" t="s">
        <v>226</v>
      </c>
      <c r="C37" s="40">
        <v>1</v>
      </c>
      <c r="D37" s="4" t="s">
        <v>227</v>
      </c>
      <c r="E37" s="2"/>
      <c r="F37" s="2"/>
      <c r="G37" s="2"/>
      <c r="H37" s="2"/>
      <c r="I37" s="2"/>
      <c r="J37" s="2"/>
      <c r="K37" s="2"/>
      <c r="L37" s="2"/>
      <c r="M37" s="2"/>
      <c r="N37" s="2"/>
      <c r="O37" s="2"/>
      <c r="P37" s="2"/>
    </row>
    <row r="38" spans="1:16" x14ac:dyDescent="0.35">
      <c r="A38" s="2"/>
      <c r="B38" s="2"/>
      <c r="C38" s="2"/>
      <c r="D38" s="2"/>
      <c r="E38" s="2"/>
      <c r="F38" s="2"/>
      <c r="G38" s="2"/>
      <c r="H38" s="2"/>
      <c r="I38" s="2"/>
      <c r="J38" s="2"/>
      <c r="K38" s="2"/>
      <c r="L38" s="2"/>
      <c r="M38" s="2"/>
      <c r="N38" s="2"/>
      <c r="O38" s="2"/>
      <c r="P38" s="2"/>
    </row>
    <row r="39" spans="1:16" x14ac:dyDescent="0.35">
      <c r="A39" s="38" t="s">
        <v>228</v>
      </c>
      <c r="B39" s="2"/>
      <c r="C39" s="2"/>
      <c r="D39" s="2"/>
      <c r="E39" s="2"/>
      <c r="F39" s="2"/>
      <c r="G39" s="2"/>
      <c r="H39" s="2"/>
      <c r="I39" s="2"/>
      <c r="J39" s="2"/>
      <c r="K39" s="2"/>
      <c r="L39" s="2"/>
      <c r="M39" s="2"/>
      <c r="N39" s="2"/>
      <c r="O39" s="2"/>
      <c r="P39" s="2"/>
    </row>
    <row r="40" spans="1:16" x14ac:dyDescent="0.35">
      <c r="A40" s="17" t="s">
        <v>229</v>
      </c>
      <c r="B40" s="39" t="s">
        <v>230</v>
      </c>
      <c r="C40" s="40">
        <v>1</v>
      </c>
      <c r="D40" s="4" t="s">
        <v>231</v>
      </c>
      <c r="E40" s="2"/>
      <c r="F40" s="2"/>
      <c r="G40" s="2"/>
      <c r="H40" s="2"/>
      <c r="I40" s="2"/>
      <c r="J40" s="2"/>
      <c r="K40" s="2"/>
      <c r="L40" s="2"/>
      <c r="M40" s="2"/>
      <c r="N40" s="2"/>
      <c r="O40" s="2"/>
      <c r="P40" s="2"/>
    </row>
    <row r="41" spans="1:16" x14ac:dyDescent="0.35">
      <c r="A41" s="17" t="s">
        <v>232</v>
      </c>
      <c r="B41" s="39" t="s">
        <v>233</v>
      </c>
      <c r="C41" s="41">
        <v>0.2</v>
      </c>
      <c r="D41" s="4" t="s">
        <v>169</v>
      </c>
      <c r="E41" s="2"/>
      <c r="F41" s="2"/>
      <c r="G41" s="2"/>
      <c r="H41" s="2"/>
      <c r="I41" s="2"/>
      <c r="J41" s="2"/>
      <c r="K41" s="2"/>
      <c r="L41" s="2"/>
      <c r="M41" s="2"/>
      <c r="N41" s="2"/>
      <c r="O41" s="2"/>
      <c r="P41" s="2"/>
    </row>
    <row r="42" spans="1:16" x14ac:dyDescent="0.35">
      <c r="A42" s="17" t="s">
        <v>234</v>
      </c>
      <c r="B42" s="39" t="s">
        <v>235</v>
      </c>
      <c r="C42" s="44">
        <v>0.5</v>
      </c>
      <c r="D42" s="4" t="s">
        <v>169</v>
      </c>
      <c r="E42" s="2"/>
      <c r="F42" s="2"/>
      <c r="G42" s="2"/>
      <c r="H42" s="2"/>
      <c r="I42" s="2"/>
      <c r="J42" s="2"/>
      <c r="K42" s="2"/>
      <c r="L42" s="2"/>
      <c r="M42" s="2"/>
      <c r="N42" s="2"/>
      <c r="O42" s="2"/>
      <c r="P42" s="2"/>
    </row>
    <row r="43" spans="1:16" x14ac:dyDescent="0.35">
      <c r="A43" s="17" t="s">
        <v>236</v>
      </c>
      <c r="B43" s="39" t="s">
        <v>235</v>
      </c>
      <c r="C43" s="44">
        <v>1</v>
      </c>
      <c r="D43" s="4" t="s">
        <v>169</v>
      </c>
      <c r="E43" s="2"/>
      <c r="F43" s="2"/>
      <c r="G43" s="2"/>
      <c r="H43" s="2"/>
      <c r="I43" s="2"/>
      <c r="J43" s="2"/>
      <c r="K43" s="2"/>
      <c r="L43" s="2"/>
      <c r="M43" s="2"/>
      <c r="N43" s="2"/>
      <c r="O43" s="2"/>
      <c r="P43" s="2"/>
    </row>
    <row r="44" spans="1:16" x14ac:dyDescent="0.35">
      <c r="A44" s="17" t="s">
        <v>237</v>
      </c>
      <c r="B44" s="39" t="s">
        <v>57</v>
      </c>
      <c r="C44" s="44">
        <v>0</v>
      </c>
      <c r="D44" s="4" t="s">
        <v>169</v>
      </c>
      <c r="E44" s="2"/>
      <c r="F44" s="2"/>
      <c r="G44" s="2"/>
      <c r="H44" s="2"/>
      <c r="I44" s="2"/>
      <c r="J44" s="2"/>
      <c r="K44" s="2"/>
      <c r="L44" s="2"/>
      <c r="M44" s="2"/>
      <c r="N44" s="2"/>
      <c r="O44" s="2"/>
      <c r="P44" s="2"/>
    </row>
    <row r="45" spans="1:16" x14ac:dyDescent="0.35">
      <c r="A45" s="17" t="s">
        <v>238</v>
      </c>
      <c r="B45" s="39" t="s">
        <v>239</v>
      </c>
      <c r="C45" s="44">
        <v>0</v>
      </c>
      <c r="D45" s="4" t="s">
        <v>169</v>
      </c>
      <c r="E45" s="2"/>
      <c r="F45" s="2"/>
      <c r="G45" s="2"/>
      <c r="H45" s="2"/>
      <c r="I45" s="2"/>
      <c r="J45" s="2"/>
      <c r="K45" s="2"/>
      <c r="L45" s="2"/>
      <c r="M45" s="2"/>
      <c r="N45" s="2"/>
      <c r="O45" s="2"/>
      <c r="P45" s="2"/>
    </row>
    <row r="46" spans="1:16" x14ac:dyDescent="0.35">
      <c r="A46" s="2"/>
      <c r="B46" s="2"/>
      <c r="C46" s="2"/>
      <c r="D46" s="2"/>
      <c r="E46" s="2"/>
      <c r="F46" s="2"/>
      <c r="G46" s="2"/>
      <c r="H46" s="2"/>
      <c r="I46" s="2"/>
      <c r="J46" s="2"/>
      <c r="K46" s="2"/>
      <c r="L46" s="2"/>
      <c r="M46" s="2"/>
      <c r="N46" s="2"/>
      <c r="O46" s="2"/>
      <c r="P46" s="2"/>
    </row>
    <row r="47" spans="1:16" x14ac:dyDescent="0.35">
      <c r="A47" s="38" t="s">
        <v>240</v>
      </c>
      <c r="B47" s="2"/>
      <c r="C47" s="2"/>
      <c r="D47" s="2"/>
      <c r="E47" s="2"/>
      <c r="F47" s="2"/>
      <c r="G47" s="2"/>
      <c r="H47" s="2"/>
      <c r="I47" s="2"/>
      <c r="J47" s="2"/>
      <c r="K47" s="2"/>
      <c r="L47" s="2"/>
      <c r="M47" s="2"/>
      <c r="N47" s="2"/>
      <c r="O47" s="2"/>
      <c r="P47" s="2"/>
    </row>
    <row r="48" spans="1:16" x14ac:dyDescent="0.35">
      <c r="A48" s="17" t="s">
        <v>241</v>
      </c>
      <c r="B48" s="39" t="s">
        <v>242</v>
      </c>
      <c r="C48" s="44">
        <v>3</v>
      </c>
      <c r="D48" s="4" t="s">
        <v>243</v>
      </c>
      <c r="E48" s="2"/>
      <c r="F48" s="2"/>
      <c r="G48" s="2"/>
      <c r="H48" s="2"/>
      <c r="I48" s="2"/>
      <c r="J48" s="2"/>
      <c r="K48" s="2"/>
      <c r="L48" s="2"/>
      <c r="M48" s="2"/>
      <c r="N48" s="2"/>
      <c r="O48" s="2"/>
      <c r="P48" s="2"/>
    </row>
    <row r="49" spans="1:16" x14ac:dyDescent="0.35">
      <c r="A49" s="17" t="s">
        <v>244</v>
      </c>
      <c r="B49" s="39" t="s">
        <v>245</v>
      </c>
      <c r="C49" s="41">
        <v>0.6</v>
      </c>
      <c r="D49" s="4" t="s">
        <v>246</v>
      </c>
      <c r="E49" s="2"/>
      <c r="F49" s="2"/>
      <c r="G49" s="2"/>
      <c r="H49" s="2"/>
      <c r="I49" s="2"/>
      <c r="J49" s="2"/>
      <c r="K49" s="2"/>
      <c r="L49" s="2"/>
      <c r="M49" s="2"/>
      <c r="N49" s="2"/>
      <c r="O49" s="2"/>
      <c r="P49" s="2"/>
    </row>
    <row r="50" spans="1:16" x14ac:dyDescent="0.35">
      <c r="A50" s="17" t="s">
        <v>247</v>
      </c>
      <c r="B50" s="39" t="s">
        <v>245</v>
      </c>
      <c r="C50" s="41">
        <v>0.2</v>
      </c>
      <c r="D50" s="4" t="s">
        <v>248</v>
      </c>
      <c r="E50" s="2"/>
      <c r="F50" s="2"/>
      <c r="G50" s="2"/>
      <c r="H50" s="2"/>
      <c r="I50" s="2"/>
      <c r="J50" s="2"/>
      <c r="K50" s="2"/>
      <c r="L50" s="2"/>
      <c r="M50" s="2"/>
      <c r="N50" s="2"/>
      <c r="O50" s="2"/>
      <c r="P50" s="2"/>
    </row>
    <row r="51" spans="1:16" x14ac:dyDescent="0.35">
      <c r="A51" s="17" t="s">
        <v>249</v>
      </c>
      <c r="B51" s="39" t="s">
        <v>245</v>
      </c>
      <c r="C51" s="42">
        <f>1-$C$49-$C$50</f>
        <v>0.2</v>
      </c>
      <c r="D51" s="4" t="s">
        <v>250</v>
      </c>
      <c r="E51" s="2"/>
      <c r="F51" s="2"/>
      <c r="G51" s="2"/>
      <c r="H51" s="2"/>
      <c r="I51" s="2"/>
      <c r="J51" s="2"/>
      <c r="K51" s="2"/>
      <c r="L51" s="2"/>
      <c r="M51" s="2"/>
      <c r="N51" s="2"/>
      <c r="O51" s="2"/>
      <c r="P51" s="2"/>
    </row>
    <row r="52" spans="1:16" x14ac:dyDescent="0.35">
      <c r="A52" s="17" t="s">
        <v>251</v>
      </c>
      <c r="B52" s="39"/>
      <c r="C52" s="29" t="str">
        <f>IF($C$49+$C$50&gt;1,"ERROR - above 100%","OK")</f>
        <v>OK</v>
      </c>
      <c r="D52" s="4" t="s">
        <v>252</v>
      </c>
      <c r="E52" s="2"/>
      <c r="F52" s="2"/>
      <c r="G52" s="2"/>
      <c r="H52" s="2"/>
      <c r="I52" s="2"/>
      <c r="J52" s="2"/>
      <c r="K52" s="2"/>
      <c r="L52" s="2"/>
      <c r="M52" s="2"/>
      <c r="N52" s="2"/>
      <c r="O52" s="2"/>
      <c r="P52" s="2"/>
    </row>
    <row r="53" spans="1:16" x14ac:dyDescent="0.35">
      <c r="A53" s="17" t="s">
        <v>253</v>
      </c>
      <c r="B53" s="39" t="s">
        <v>254</v>
      </c>
      <c r="C53" s="41">
        <v>0.3</v>
      </c>
      <c r="D53" s="4" t="s">
        <v>255</v>
      </c>
      <c r="E53" s="2"/>
      <c r="F53" s="2"/>
      <c r="G53" s="2"/>
      <c r="H53" s="2"/>
      <c r="I53" s="2"/>
      <c r="J53" s="2"/>
      <c r="K53" s="2"/>
      <c r="L53" s="2"/>
      <c r="M53" s="2"/>
      <c r="N53" s="2"/>
      <c r="O53" s="2"/>
      <c r="P53" s="2"/>
    </row>
    <row r="54" spans="1:16" x14ac:dyDescent="0.35">
      <c r="A54" s="17" t="s">
        <v>256</v>
      </c>
      <c r="B54" s="39" t="s">
        <v>257</v>
      </c>
      <c r="C54" s="40">
        <v>0.89</v>
      </c>
      <c r="D54" s="4" t="s">
        <v>258</v>
      </c>
      <c r="E54" s="2"/>
      <c r="F54" s="2"/>
      <c r="G54" s="2"/>
      <c r="H54" s="2"/>
      <c r="I54" s="2"/>
      <c r="J54" s="2"/>
      <c r="K54" s="2"/>
      <c r="L54" s="2"/>
      <c r="M54" s="2"/>
      <c r="N54" s="2"/>
      <c r="O54" s="2"/>
      <c r="P54" s="2"/>
    </row>
    <row r="55" spans="1:16" x14ac:dyDescent="0.35">
      <c r="A55" s="17" t="s">
        <v>259</v>
      </c>
      <c r="B55" s="39" t="s">
        <v>260</v>
      </c>
      <c r="C55" s="40">
        <v>1.99</v>
      </c>
      <c r="D55" s="4" t="s">
        <v>261</v>
      </c>
      <c r="E55" s="2"/>
      <c r="F55" s="2"/>
      <c r="G55" s="2"/>
      <c r="H55" s="2"/>
      <c r="I55" s="2"/>
      <c r="J55" s="2"/>
      <c r="K55" s="2"/>
      <c r="L55" s="2"/>
      <c r="M55" s="2"/>
      <c r="N55" s="2"/>
      <c r="O55" s="2"/>
      <c r="P55" s="2"/>
    </row>
    <row r="56" spans="1:16" x14ac:dyDescent="0.35">
      <c r="A56" s="17" t="s">
        <v>262</v>
      </c>
      <c r="B56" s="39" t="s">
        <v>263</v>
      </c>
      <c r="C56" s="44">
        <v>7</v>
      </c>
      <c r="D56" s="4" t="s">
        <v>169</v>
      </c>
      <c r="E56" s="2"/>
      <c r="F56" s="2"/>
      <c r="G56" s="2"/>
      <c r="H56" s="2"/>
      <c r="I56" s="2"/>
      <c r="J56" s="2"/>
      <c r="K56" s="2"/>
      <c r="L56" s="2"/>
      <c r="M56" s="2"/>
      <c r="N56" s="2"/>
      <c r="O56" s="2"/>
      <c r="P56" s="2"/>
    </row>
    <row r="57" spans="1:16" x14ac:dyDescent="0.35">
      <c r="A57" s="17" t="s">
        <v>264</v>
      </c>
      <c r="B57" s="39" t="s">
        <v>265</v>
      </c>
      <c r="C57" s="45">
        <v>1.4E-2</v>
      </c>
      <c r="D57" s="4" t="s">
        <v>266</v>
      </c>
      <c r="E57" s="2"/>
      <c r="F57" s="2"/>
      <c r="G57" s="2"/>
      <c r="H57" s="2"/>
      <c r="I57" s="2"/>
      <c r="J57" s="2"/>
      <c r="K57" s="2"/>
      <c r="L57" s="2"/>
      <c r="M57" s="2"/>
      <c r="N57" s="2"/>
      <c r="O57" s="2"/>
      <c r="P57" s="2"/>
    </row>
    <row r="58" spans="1:16" x14ac:dyDescent="0.35">
      <c r="A58" s="17" t="s">
        <v>128</v>
      </c>
      <c r="B58" s="39" t="s">
        <v>265</v>
      </c>
      <c r="C58" s="45">
        <v>3.0999999999999999E-3</v>
      </c>
      <c r="D58" s="4" t="s">
        <v>267</v>
      </c>
      <c r="E58" s="2"/>
      <c r="F58" s="2"/>
      <c r="G58" s="2"/>
      <c r="H58" s="2"/>
      <c r="I58" s="2"/>
      <c r="J58" s="2"/>
      <c r="K58" s="2"/>
      <c r="L58" s="2"/>
      <c r="M58" s="2"/>
      <c r="N58" s="2"/>
      <c r="O58" s="2"/>
      <c r="P58" s="2"/>
    </row>
    <row r="59" spans="1:16" x14ac:dyDescent="0.35">
      <c r="A59" s="17" t="s">
        <v>268</v>
      </c>
      <c r="B59" s="39" t="s">
        <v>242</v>
      </c>
      <c r="C59" s="44">
        <v>0</v>
      </c>
      <c r="D59" s="4" t="s">
        <v>269</v>
      </c>
      <c r="E59" s="2"/>
      <c r="F59" s="2"/>
      <c r="G59" s="2"/>
      <c r="H59" s="2"/>
      <c r="I59" s="2"/>
      <c r="J59" s="2"/>
      <c r="K59" s="2"/>
      <c r="L59" s="2"/>
      <c r="M59" s="2"/>
      <c r="N59" s="2"/>
      <c r="O59" s="2"/>
      <c r="P59" s="2"/>
    </row>
    <row r="60" spans="1:16" x14ac:dyDescent="0.35">
      <c r="A60" s="17" t="s">
        <v>270</v>
      </c>
      <c r="B60" s="39" t="s">
        <v>263</v>
      </c>
      <c r="C60" s="44">
        <v>0</v>
      </c>
      <c r="D60" s="4" t="s">
        <v>169</v>
      </c>
      <c r="E60" s="2"/>
      <c r="F60" s="2"/>
      <c r="G60" s="2"/>
      <c r="H60" s="2"/>
      <c r="I60" s="2"/>
      <c r="J60" s="2"/>
      <c r="K60" s="2"/>
      <c r="L60" s="2"/>
      <c r="M60" s="2"/>
      <c r="N60" s="2"/>
      <c r="O60" s="2"/>
      <c r="P60" s="2"/>
    </row>
    <row r="61" spans="1:16" x14ac:dyDescent="0.35">
      <c r="A61" s="17" t="s">
        <v>271</v>
      </c>
      <c r="B61" s="39" t="s">
        <v>265</v>
      </c>
      <c r="C61" s="46">
        <v>0.15</v>
      </c>
      <c r="D61" s="4" t="s">
        <v>193</v>
      </c>
      <c r="E61" s="2"/>
      <c r="F61" s="2"/>
      <c r="G61" s="2"/>
      <c r="H61" s="2"/>
      <c r="I61" s="2"/>
      <c r="J61" s="2"/>
      <c r="K61" s="2"/>
      <c r="L61" s="2"/>
      <c r="M61" s="2"/>
      <c r="N61" s="2"/>
      <c r="O61" s="2"/>
      <c r="P61" s="2"/>
    </row>
    <row r="62" spans="1:16" x14ac:dyDescent="0.35">
      <c r="A62" s="17" t="s">
        <v>272</v>
      </c>
      <c r="B62" s="39" t="s">
        <v>273</v>
      </c>
      <c r="C62" s="44">
        <v>0</v>
      </c>
      <c r="D62" s="4" t="s">
        <v>169</v>
      </c>
      <c r="E62" s="2"/>
      <c r="F62" s="2"/>
      <c r="G62" s="2"/>
      <c r="H62" s="2"/>
      <c r="I62" s="2"/>
      <c r="J62" s="2"/>
      <c r="K62" s="2"/>
      <c r="L62" s="2"/>
      <c r="M62" s="2"/>
      <c r="N62" s="2"/>
      <c r="O62" s="2"/>
      <c r="P62" s="2"/>
    </row>
    <row r="63" spans="1:16" x14ac:dyDescent="0.35">
      <c r="A63" s="17" t="s">
        <v>274</v>
      </c>
      <c r="B63" s="39" t="s">
        <v>275</v>
      </c>
      <c r="C63" s="40">
        <v>0</v>
      </c>
      <c r="D63" s="4" t="s">
        <v>276</v>
      </c>
      <c r="E63" s="2"/>
      <c r="F63" s="2"/>
      <c r="G63" s="2"/>
      <c r="H63" s="2"/>
      <c r="I63" s="2"/>
      <c r="J63" s="2"/>
      <c r="K63" s="2"/>
      <c r="L63" s="2"/>
      <c r="M63" s="2"/>
      <c r="N63" s="2"/>
      <c r="O63" s="2"/>
      <c r="P63" s="2"/>
    </row>
    <row r="64" spans="1:16" x14ac:dyDescent="0.35">
      <c r="A64" s="2"/>
      <c r="B64" s="2"/>
      <c r="C64" s="2"/>
      <c r="D64" s="2"/>
      <c r="E64" s="2"/>
      <c r="F64" s="2"/>
      <c r="G64" s="2"/>
      <c r="H64" s="2"/>
      <c r="I64" s="2"/>
      <c r="J64" s="2"/>
      <c r="K64" s="2"/>
      <c r="L64" s="2"/>
      <c r="M64" s="2"/>
      <c r="N64" s="2"/>
      <c r="O64" s="2"/>
      <c r="P64" s="2"/>
    </row>
    <row r="65" spans="1:16" x14ac:dyDescent="0.35">
      <c r="A65" s="38" t="s">
        <v>67</v>
      </c>
      <c r="B65" s="2"/>
      <c r="C65" s="2"/>
      <c r="D65" s="2"/>
      <c r="E65" s="2"/>
      <c r="F65" s="2"/>
      <c r="G65" s="2"/>
      <c r="H65" s="2"/>
      <c r="I65" s="2"/>
      <c r="J65" s="2"/>
      <c r="K65" s="2"/>
      <c r="L65" s="2"/>
      <c r="M65" s="2"/>
      <c r="N65" s="2"/>
      <c r="O65" s="2"/>
      <c r="P65" s="2"/>
    </row>
    <row r="66" spans="1:16" x14ac:dyDescent="0.35">
      <c r="A66" s="17" t="s">
        <v>277</v>
      </c>
      <c r="B66" s="39" t="s">
        <v>278</v>
      </c>
      <c r="C66" s="44">
        <v>80</v>
      </c>
      <c r="D66" s="4" t="s">
        <v>279</v>
      </c>
      <c r="E66" s="2"/>
      <c r="F66" s="2"/>
      <c r="G66" s="2"/>
      <c r="H66" s="2"/>
      <c r="I66" s="2"/>
      <c r="J66" s="2"/>
      <c r="K66" s="2"/>
      <c r="L66" s="2"/>
      <c r="M66" s="2"/>
      <c r="N66" s="2"/>
      <c r="O66" s="2"/>
      <c r="P66" s="2"/>
    </row>
    <row r="67" spans="1:16" x14ac:dyDescent="0.35">
      <c r="A67" s="17" t="s">
        <v>280</v>
      </c>
      <c r="B67" s="39" t="s">
        <v>281</v>
      </c>
      <c r="C67" s="47">
        <v>1</v>
      </c>
      <c r="D67" s="4" t="s">
        <v>169</v>
      </c>
      <c r="E67" s="2"/>
      <c r="F67" s="2"/>
      <c r="G67" s="2"/>
      <c r="H67" s="2"/>
      <c r="I67" s="2"/>
      <c r="J67" s="2"/>
      <c r="K67" s="2"/>
      <c r="L67" s="2"/>
      <c r="M67" s="2"/>
      <c r="N67" s="2"/>
      <c r="O67" s="2"/>
      <c r="P67" s="2"/>
    </row>
    <row r="68" spans="1:16" x14ac:dyDescent="0.35">
      <c r="A68" s="17" t="s">
        <v>282</v>
      </c>
      <c r="B68" s="39" t="s">
        <v>283</v>
      </c>
      <c r="C68" s="44">
        <v>2</v>
      </c>
      <c r="D68" s="4" t="s">
        <v>284</v>
      </c>
      <c r="E68" s="2"/>
      <c r="F68" s="2"/>
      <c r="G68" s="2"/>
      <c r="H68" s="2"/>
      <c r="I68" s="2"/>
      <c r="J68" s="2"/>
      <c r="K68" s="2"/>
      <c r="L68" s="2"/>
      <c r="M68" s="2"/>
      <c r="N68" s="2"/>
      <c r="O68" s="2"/>
      <c r="P68" s="2"/>
    </row>
    <row r="69" spans="1:16" x14ac:dyDescent="0.35">
      <c r="A69" s="2"/>
      <c r="B69" s="2"/>
      <c r="C69" s="2"/>
      <c r="D69" s="2"/>
      <c r="E69" s="2"/>
      <c r="F69" s="2"/>
      <c r="G69" s="2"/>
      <c r="H69" s="2"/>
      <c r="I69" s="2"/>
      <c r="J69" s="2"/>
      <c r="K69" s="2"/>
      <c r="L69" s="2"/>
      <c r="M69" s="2"/>
      <c r="N69" s="2"/>
      <c r="O69" s="2"/>
      <c r="P69" s="2"/>
    </row>
    <row r="70" spans="1:16" x14ac:dyDescent="0.35">
      <c r="A70" s="38" t="s">
        <v>285</v>
      </c>
      <c r="B70" s="2"/>
      <c r="C70" s="2"/>
      <c r="D70" s="2"/>
      <c r="E70" s="2"/>
      <c r="F70" s="2"/>
      <c r="G70" s="2"/>
      <c r="H70" s="2"/>
      <c r="I70" s="2"/>
      <c r="J70" s="2"/>
      <c r="K70" s="2"/>
      <c r="L70" s="2"/>
      <c r="M70" s="2"/>
      <c r="N70" s="2"/>
      <c r="O70" s="2"/>
      <c r="P70" s="2"/>
    </row>
    <row r="71" spans="1:16" x14ac:dyDescent="0.35">
      <c r="A71" s="17" t="s">
        <v>286</v>
      </c>
      <c r="B71" s="39" t="s">
        <v>287</v>
      </c>
      <c r="C71" s="40">
        <v>1</v>
      </c>
      <c r="D71" s="4" t="s">
        <v>288</v>
      </c>
      <c r="E71" s="2"/>
      <c r="F71" s="2"/>
      <c r="G71" s="2"/>
      <c r="H71" s="2"/>
      <c r="I71" s="2"/>
      <c r="J71" s="2"/>
      <c r="K71" s="2"/>
      <c r="L71" s="2"/>
      <c r="M71" s="2"/>
      <c r="N71" s="2"/>
      <c r="O71" s="2"/>
      <c r="P71" s="2"/>
    </row>
    <row r="72" spans="1:16" x14ac:dyDescent="0.35">
      <c r="A72" s="17" t="s">
        <v>289</v>
      </c>
      <c r="B72" s="39" t="s">
        <v>290</v>
      </c>
      <c r="C72" s="40">
        <v>3</v>
      </c>
      <c r="D72" s="4" t="s">
        <v>291</v>
      </c>
      <c r="E72" s="2"/>
      <c r="F72" s="2"/>
      <c r="G72" s="2"/>
      <c r="H72" s="2"/>
      <c r="I72" s="2"/>
      <c r="J72" s="2"/>
      <c r="K72" s="2"/>
      <c r="L72" s="2"/>
      <c r="M72" s="2"/>
      <c r="N72" s="2"/>
      <c r="O72" s="2"/>
      <c r="P72" s="2"/>
    </row>
    <row r="73" spans="1:16" x14ac:dyDescent="0.35">
      <c r="A73" s="17" t="s">
        <v>292</v>
      </c>
      <c r="B73" s="39" t="s">
        <v>293</v>
      </c>
      <c r="C73" s="47">
        <v>8334</v>
      </c>
      <c r="D73" s="4" t="s">
        <v>294</v>
      </c>
      <c r="E73" s="2"/>
      <c r="F73" s="2"/>
      <c r="G73" s="2"/>
      <c r="H73" s="2"/>
      <c r="I73" s="2"/>
      <c r="J73" s="2"/>
      <c r="K73" s="2"/>
      <c r="L73" s="2"/>
      <c r="M73" s="2"/>
      <c r="N73" s="2"/>
      <c r="O73" s="2"/>
      <c r="P73" s="2"/>
    </row>
    <row r="74" spans="1:16" x14ac:dyDescent="0.35">
      <c r="A74" s="17" t="s">
        <v>295</v>
      </c>
      <c r="B74" s="39" t="s">
        <v>296</v>
      </c>
      <c r="C74" s="40">
        <v>1</v>
      </c>
      <c r="D74" s="4" t="s">
        <v>297</v>
      </c>
      <c r="E74" s="2"/>
      <c r="F74" s="2"/>
      <c r="G74" s="2"/>
      <c r="H74" s="2"/>
      <c r="I74" s="2"/>
      <c r="J74" s="2"/>
      <c r="K74" s="2"/>
      <c r="L74" s="2"/>
      <c r="M74" s="2"/>
      <c r="N74" s="2"/>
      <c r="O74" s="2"/>
      <c r="P74" s="2"/>
    </row>
    <row r="75" spans="1:16" x14ac:dyDescent="0.35">
      <c r="A75" s="17" t="s">
        <v>298</v>
      </c>
      <c r="B75" s="39" t="s">
        <v>299</v>
      </c>
      <c r="C75" s="37">
        <v>8000</v>
      </c>
      <c r="D75" s="4" t="s">
        <v>300</v>
      </c>
      <c r="E75" s="2"/>
      <c r="F75" s="2"/>
      <c r="G75" s="2"/>
      <c r="H75" s="2"/>
      <c r="I75" s="2"/>
      <c r="J75" s="2"/>
      <c r="K75" s="2"/>
      <c r="L75" s="2"/>
      <c r="M75" s="2"/>
      <c r="N75" s="2"/>
      <c r="O75" s="2"/>
      <c r="P75" s="2"/>
    </row>
  </sheetData>
  <mergeCells count="1">
    <mergeCell ref="D10:P1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68"/>
  <sheetViews>
    <sheetView showGridLines="0" zoomScaleNormal="100" workbookViewId="0">
      <pane xSplit="2" ySplit="4" topLeftCell="C5" activePane="bottomRight" state="frozen"/>
      <selection pane="topRight" activeCell="C1" sqref="C1"/>
      <selection pane="bottomLeft" activeCell="A5" sqref="A5"/>
      <selection pane="bottomRight" activeCell="T17" sqref="T17"/>
    </sheetView>
  </sheetViews>
  <sheetFormatPr defaultColWidth="8.6328125" defaultRowHeight="14.5" x14ac:dyDescent="0.35"/>
  <cols>
    <col min="1" max="1" width="52" customWidth="1"/>
    <col min="2" max="2" width="16" customWidth="1"/>
    <col min="3" max="15" width="11" customWidth="1"/>
  </cols>
  <sheetData>
    <row r="1" spans="1:15" ht="18" customHeight="1" x14ac:dyDescent="0.4">
      <c r="A1" s="3" t="s">
        <v>301</v>
      </c>
      <c r="B1" s="2"/>
      <c r="C1" s="2"/>
      <c r="D1" s="2"/>
      <c r="E1" s="2"/>
      <c r="F1" s="2"/>
      <c r="G1" s="2"/>
      <c r="H1" s="2"/>
      <c r="I1" s="2"/>
      <c r="J1" s="2"/>
      <c r="K1" s="2"/>
      <c r="L1" s="2"/>
      <c r="M1" s="2"/>
      <c r="N1" s="2"/>
      <c r="O1" s="2"/>
    </row>
    <row r="2" spans="1:15" x14ac:dyDescent="0.35">
      <c r="A2" s="4" t="s">
        <v>302</v>
      </c>
      <c r="B2" s="2"/>
      <c r="C2" s="2"/>
      <c r="D2" s="2"/>
      <c r="E2" s="2"/>
      <c r="F2" s="2"/>
      <c r="G2" s="2"/>
      <c r="H2" s="2"/>
      <c r="I2" s="2"/>
      <c r="J2" s="2"/>
      <c r="K2" s="2"/>
      <c r="L2" s="2"/>
      <c r="M2" s="2"/>
      <c r="N2" s="2"/>
      <c r="O2" s="2"/>
    </row>
    <row r="3" spans="1:15" x14ac:dyDescent="0.35">
      <c r="A3" s="2"/>
      <c r="B3" s="2"/>
      <c r="C3" s="2"/>
      <c r="D3" s="2"/>
      <c r="E3" s="2"/>
      <c r="F3" s="2"/>
      <c r="G3" s="2"/>
      <c r="H3" s="2"/>
      <c r="I3" s="2"/>
      <c r="J3" s="2"/>
      <c r="K3" s="2"/>
      <c r="L3" s="2"/>
      <c r="M3" s="2"/>
      <c r="N3" s="2"/>
      <c r="O3" s="2"/>
    </row>
    <row r="4" spans="1:15" x14ac:dyDescent="0.35">
      <c r="A4" s="13" t="s">
        <v>303</v>
      </c>
      <c r="B4" s="13" t="s">
        <v>170</v>
      </c>
      <c r="C4" s="14" t="s">
        <v>96</v>
      </c>
      <c r="D4" s="14" t="s">
        <v>97</v>
      </c>
      <c r="E4" s="14" t="s">
        <v>98</v>
      </c>
      <c r="F4" s="14" t="s">
        <v>99</v>
      </c>
      <c r="G4" s="14" t="s">
        <v>100</v>
      </c>
      <c r="H4" s="14" t="s">
        <v>101</v>
      </c>
      <c r="I4" s="14" t="s">
        <v>102</v>
      </c>
      <c r="J4" s="14" t="s">
        <v>103</v>
      </c>
      <c r="K4" s="14" t="s">
        <v>104</v>
      </c>
      <c r="L4" s="14" t="s">
        <v>105</v>
      </c>
      <c r="M4" s="14" t="s">
        <v>106</v>
      </c>
      <c r="N4" s="14" t="s">
        <v>107</v>
      </c>
      <c r="O4" s="14" t="s">
        <v>108</v>
      </c>
    </row>
    <row r="5" spans="1:15" x14ac:dyDescent="0.35">
      <c r="A5" s="48" t="s">
        <v>304</v>
      </c>
      <c r="B5" s="48" t="s">
        <v>305</v>
      </c>
      <c r="C5" s="48">
        <v>1</v>
      </c>
      <c r="D5" s="48">
        <v>2</v>
      </c>
      <c r="E5" s="48">
        <v>3</v>
      </c>
      <c r="F5" s="48">
        <v>4</v>
      </c>
      <c r="G5" s="48">
        <v>5</v>
      </c>
      <c r="H5" s="48">
        <v>6</v>
      </c>
      <c r="I5" s="48">
        <v>7</v>
      </c>
      <c r="J5" s="48">
        <v>8</v>
      </c>
      <c r="K5" s="48">
        <v>9</v>
      </c>
      <c r="L5" s="48">
        <v>10</v>
      </c>
      <c r="M5" s="48">
        <v>11</v>
      </c>
      <c r="N5" s="48">
        <v>12</v>
      </c>
      <c r="O5" s="2"/>
    </row>
    <row r="6" spans="1:15" x14ac:dyDescent="0.35">
      <c r="A6" s="2"/>
      <c r="B6" s="2"/>
      <c r="C6" s="2"/>
      <c r="D6" s="2"/>
      <c r="E6" s="2"/>
      <c r="F6" s="2"/>
      <c r="G6" s="2"/>
      <c r="H6" s="2"/>
      <c r="I6" s="2"/>
      <c r="J6" s="2"/>
      <c r="K6" s="2"/>
      <c r="L6" s="2"/>
      <c r="M6" s="2"/>
      <c r="N6" s="2"/>
      <c r="O6" s="2"/>
    </row>
    <row r="7" spans="1:15" x14ac:dyDescent="0.35">
      <c r="A7" s="15" t="s">
        <v>178</v>
      </c>
      <c r="B7" s="16"/>
      <c r="C7" s="16"/>
      <c r="D7" s="16"/>
      <c r="E7" s="16"/>
      <c r="F7" s="16"/>
      <c r="G7" s="16"/>
      <c r="H7" s="16"/>
      <c r="I7" s="16"/>
      <c r="J7" s="16"/>
      <c r="K7" s="16"/>
      <c r="L7" s="16"/>
      <c r="M7" s="16"/>
      <c r="N7" s="16"/>
      <c r="O7" s="16"/>
    </row>
    <row r="8" spans="1:15" x14ac:dyDescent="0.35">
      <c r="A8" s="17" t="s">
        <v>154</v>
      </c>
      <c r="B8" s="39" t="s">
        <v>172</v>
      </c>
      <c r="C8" s="29">
        <f>Inputs!C6</f>
        <v>0</v>
      </c>
      <c r="D8" s="29">
        <f>Inputs!D6</f>
        <v>0</v>
      </c>
      <c r="E8" s="29">
        <f>Inputs!E6</f>
        <v>0</v>
      </c>
      <c r="F8" s="29">
        <f>Inputs!F6</f>
        <v>0</v>
      </c>
      <c r="G8" s="29">
        <f>Inputs!G6</f>
        <v>0</v>
      </c>
      <c r="H8" s="29">
        <f>Inputs!H6</f>
        <v>0</v>
      </c>
      <c r="I8" s="29">
        <f>Inputs!I6</f>
        <v>333</v>
      </c>
      <c r="J8" s="29">
        <f>Inputs!J6</f>
        <v>333</v>
      </c>
      <c r="K8" s="29">
        <f>Inputs!K6</f>
        <v>333</v>
      </c>
      <c r="L8" s="29">
        <f>Inputs!L6</f>
        <v>333</v>
      </c>
      <c r="M8" s="29">
        <f>Inputs!M6</f>
        <v>333</v>
      </c>
      <c r="N8" s="29">
        <f>Inputs!N6</f>
        <v>335</v>
      </c>
      <c r="O8" s="24">
        <f>SUM(C8:N8)</f>
        <v>2000</v>
      </c>
    </row>
    <row r="9" spans="1:15" x14ac:dyDescent="0.35">
      <c r="A9" s="17" t="s">
        <v>306</v>
      </c>
      <c r="B9" s="39" t="s">
        <v>172</v>
      </c>
      <c r="C9" s="29">
        <f>C8</f>
        <v>0</v>
      </c>
      <c r="D9" s="29">
        <f t="shared" ref="D9:N9" si="0">C9+D8</f>
        <v>0</v>
      </c>
      <c r="E9" s="29">
        <f t="shared" si="0"/>
        <v>0</v>
      </c>
      <c r="F9" s="29">
        <f t="shared" si="0"/>
        <v>0</v>
      </c>
      <c r="G9" s="29">
        <f t="shared" si="0"/>
        <v>0</v>
      </c>
      <c r="H9" s="29">
        <f t="shared" si="0"/>
        <v>0</v>
      </c>
      <c r="I9" s="29">
        <f t="shared" si="0"/>
        <v>333</v>
      </c>
      <c r="J9" s="29">
        <f t="shared" si="0"/>
        <v>666</v>
      </c>
      <c r="K9" s="29">
        <f t="shared" si="0"/>
        <v>999</v>
      </c>
      <c r="L9" s="29">
        <f t="shared" si="0"/>
        <v>1332</v>
      </c>
      <c r="M9" s="29">
        <f t="shared" si="0"/>
        <v>1665</v>
      </c>
      <c r="N9" s="29">
        <f t="shared" si="0"/>
        <v>2000</v>
      </c>
      <c r="O9" s="24">
        <f>N9</f>
        <v>2000</v>
      </c>
    </row>
    <row r="10" spans="1:15" x14ac:dyDescent="0.35">
      <c r="A10" s="2"/>
      <c r="B10" s="2"/>
      <c r="C10" s="2"/>
      <c r="D10" s="2"/>
      <c r="E10" s="2"/>
      <c r="F10" s="2"/>
      <c r="G10" s="2"/>
      <c r="H10" s="2"/>
      <c r="I10" s="2"/>
      <c r="J10" s="2"/>
      <c r="K10" s="2"/>
      <c r="L10" s="2"/>
      <c r="M10" s="2"/>
      <c r="N10" s="2"/>
      <c r="O10" s="2"/>
    </row>
    <row r="11" spans="1:15" x14ac:dyDescent="0.35">
      <c r="A11" s="15" t="s">
        <v>185</v>
      </c>
      <c r="B11" s="16"/>
      <c r="C11" s="16"/>
      <c r="D11" s="16"/>
      <c r="E11" s="16"/>
      <c r="F11" s="16"/>
      <c r="G11" s="16"/>
      <c r="H11" s="16"/>
      <c r="I11" s="16"/>
      <c r="J11" s="16"/>
      <c r="K11" s="16"/>
      <c r="L11" s="16"/>
      <c r="M11" s="16"/>
      <c r="N11" s="16"/>
      <c r="O11" s="16"/>
    </row>
    <row r="12" spans="1:15" x14ac:dyDescent="0.35">
      <c r="A12" s="17" t="s">
        <v>307</v>
      </c>
      <c r="B12" s="39" t="s">
        <v>187</v>
      </c>
      <c r="C12" s="29">
        <f>C9*Inputs!$C$17</f>
        <v>0</v>
      </c>
      <c r="D12" s="29">
        <f>D9*Inputs!$C$17</f>
        <v>0</v>
      </c>
      <c r="E12" s="29">
        <f>E9*Inputs!$C$17</f>
        <v>0</v>
      </c>
      <c r="F12" s="29">
        <f>F9*Inputs!$C$17</f>
        <v>0</v>
      </c>
      <c r="G12" s="29">
        <f>G9*Inputs!$C$17</f>
        <v>0</v>
      </c>
      <c r="H12" s="29">
        <f>H9*Inputs!$C$17</f>
        <v>0</v>
      </c>
      <c r="I12" s="29">
        <f>I9*Inputs!$C$17</f>
        <v>333</v>
      </c>
      <c r="J12" s="29">
        <f>J9*Inputs!$C$17</f>
        <v>666</v>
      </c>
      <c r="K12" s="29">
        <f>K9*Inputs!$C$17</f>
        <v>999</v>
      </c>
      <c r="L12" s="29">
        <f>L9*Inputs!$C$17</f>
        <v>1332</v>
      </c>
      <c r="M12" s="29">
        <f>M9*Inputs!$C$17</f>
        <v>1665</v>
      </c>
      <c r="N12" s="29">
        <f>N9*Inputs!$C$17</f>
        <v>2000</v>
      </c>
      <c r="O12" s="24">
        <f>SUM(C12:N12)</f>
        <v>6995</v>
      </c>
    </row>
    <row r="13" spans="1:15" x14ac:dyDescent="0.35">
      <c r="A13" s="17" t="s">
        <v>308</v>
      </c>
      <c r="B13" s="39" t="s">
        <v>187</v>
      </c>
      <c r="C13" s="29">
        <f>C8*Inputs!$C$18</f>
        <v>0</v>
      </c>
      <c r="D13" s="29">
        <f>D8*Inputs!$C$18</f>
        <v>0</v>
      </c>
      <c r="E13" s="29">
        <f>E8*Inputs!$C$18</f>
        <v>0</v>
      </c>
      <c r="F13" s="29">
        <f>F8*Inputs!$C$18</f>
        <v>0</v>
      </c>
      <c r="G13" s="29">
        <f>G8*Inputs!$C$18</f>
        <v>0</v>
      </c>
      <c r="H13" s="29">
        <f>H8*Inputs!$C$18</f>
        <v>0</v>
      </c>
      <c r="I13" s="29">
        <f>I8*Inputs!$C$18</f>
        <v>333</v>
      </c>
      <c r="J13" s="29">
        <f>J8*Inputs!$C$18</f>
        <v>333</v>
      </c>
      <c r="K13" s="29">
        <f>K8*Inputs!$C$18</f>
        <v>333</v>
      </c>
      <c r="L13" s="29">
        <f>L8*Inputs!$C$18</f>
        <v>333</v>
      </c>
      <c r="M13" s="29">
        <f>M8*Inputs!$C$18</f>
        <v>333</v>
      </c>
      <c r="N13" s="29">
        <f>N8*Inputs!$C$18</f>
        <v>335</v>
      </c>
      <c r="O13" s="24">
        <f>SUM(C13:N13)</f>
        <v>2000</v>
      </c>
    </row>
    <row r="14" spans="1:15" x14ac:dyDescent="0.35">
      <c r="A14" s="34" t="s">
        <v>156</v>
      </c>
      <c r="B14" s="39" t="s">
        <v>187</v>
      </c>
      <c r="C14" s="24">
        <f t="shared" ref="C14:N14" si="1">C12+C13</f>
        <v>0</v>
      </c>
      <c r="D14" s="24">
        <f t="shared" si="1"/>
        <v>0</v>
      </c>
      <c r="E14" s="24">
        <f t="shared" si="1"/>
        <v>0</v>
      </c>
      <c r="F14" s="24">
        <f t="shared" si="1"/>
        <v>0</v>
      </c>
      <c r="G14" s="24">
        <f t="shared" si="1"/>
        <v>0</v>
      </c>
      <c r="H14" s="24">
        <f t="shared" si="1"/>
        <v>0</v>
      </c>
      <c r="I14" s="24">
        <f t="shared" si="1"/>
        <v>666</v>
      </c>
      <c r="J14" s="24">
        <f t="shared" si="1"/>
        <v>999</v>
      </c>
      <c r="K14" s="24">
        <f t="shared" si="1"/>
        <v>1332</v>
      </c>
      <c r="L14" s="24">
        <f t="shared" si="1"/>
        <v>1665</v>
      </c>
      <c r="M14" s="24">
        <f t="shared" si="1"/>
        <v>1998</v>
      </c>
      <c r="N14" s="24">
        <f t="shared" si="1"/>
        <v>2335</v>
      </c>
      <c r="O14" s="24">
        <f>SUM(C14:N14)</f>
        <v>8995</v>
      </c>
    </row>
    <row r="15" spans="1:15" x14ac:dyDescent="0.35">
      <c r="A15" s="17" t="s">
        <v>309</v>
      </c>
      <c r="B15" s="39" t="s">
        <v>187</v>
      </c>
      <c r="C15" s="49">
        <f>C14*Inputs!$C$20</f>
        <v>0</v>
      </c>
      <c r="D15" s="49">
        <f>D14*Inputs!$C$20</f>
        <v>0</v>
      </c>
      <c r="E15" s="49">
        <f>E14*Inputs!$C$20</f>
        <v>0</v>
      </c>
      <c r="F15" s="49">
        <f>F14*Inputs!$C$20</f>
        <v>0</v>
      </c>
      <c r="G15" s="49">
        <f>G14*Inputs!$C$20</f>
        <v>0</v>
      </c>
      <c r="H15" s="49">
        <f>H14*Inputs!$C$20</f>
        <v>0</v>
      </c>
      <c r="I15" s="49">
        <f>I14*Inputs!$C$20</f>
        <v>512.82000000000005</v>
      </c>
      <c r="J15" s="49">
        <f>J14*Inputs!$C$20</f>
        <v>769.23</v>
      </c>
      <c r="K15" s="49">
        <f>K14*Inputs!$C$20</f>
        <v>1025.6400000000001</v>
      </c>
      <c r="L15" s="49">
        <f>L14*Inputs!$C$20</f>
        <v>1282.05</v>
      </c>
      <c r="M15" s="49">
        <f>M14*Inputs!$C$20</f>
        <v>1538.46</v>
      </c>
      <c r="N15" s="49">
        <f>N14*Inputs!$C$20</f>
        <v>1797.95</v>
      </c>
      <c r="O15" s="50">
        <f>SUM(C15:N15)</f>
        <v>6926.1500000000005</v>
      </c>
    </row>
    <row r="16" spans="1:15" x14ac:dyDescent="0.35">
      <c r="A16" s="17" t="s">
        <v>310</v>
      </c>
      <c r="B16" s="39" t="s">
        <v>187</v>
      </c>
      <c r="C16" s="49">
        <f>C14*Inputs!$C$21</f>
        <v>0</v>
      </c>
      <c r="D16" s="49">
        <f>D14*Inputs!$C$21</f>
        <v>0</v>
      </c>
      <c r="E16" s="49">
        <f>E14*Inputs!$C$21</f>
        <v>0</v>
      </c>
      <c r="F16" s="49">
        <f>F14*Inputs!$C$21</f>
        <v>0</v>
      </c>
      <c r="G16" s="49">
        <f>G14*Inputs!$C$21</f>
        <v>0</v>
      </c>
      <c r="H16" s="49">
        <f>H14*Inputs!$C$21</f>
        <v>0</v>
      </c>
      <c r="I16" s="49">
        <f>I14*Inputs!$C$21</f>
        <v>153.17999999999998</v>
      </c>
      <c r="J16" s="49">
        <f>J14*Inputs!$C$21</f>
        <v>229.76999999999998</v>
      </c>
      <c r="K16" s="49">
        <f>K14*Inputs!$C$21</f>
        <v>306.35999999999996</v>
      </c>
      <c r="L16" s="49">
        <f>L14*Inputs!$C$21</f>
        <v>382.95</v>
      </c>
      <c r="M16" s="49">
        <f>M14*Inputs!$C$21</f>
        <v>459.53999999999996</v>
      </c>
      <c r="N16" s="49">
        <f>N14*Inputs!$C$21</f>
        <v>537.04999999999995</v>
      </c>
      <c r="O16" s="50">
        <f>SUM(C16:N16)</f>
        <v>2068.85</v>
      </c>
    </row>
    <row r="17" spans="1:15" x14ac:dyDescent="0.35">
      <c r="A17" s="2"/>
      <c r="B17" s="2"/>
      <c r="C17" s="2"/>
      <c r="D17" s="2"/>
      <c r="E17" s="2"/>
      <c r="F17" s="2"/>
      <c r="G17" s="2"/>
      <c r="H17" s="2"/>
      <c r="I17" s="2"/>
      <c r="J17" s="2"/>
      <c r="K17" s="2"/>
      <c r="L17" s="2"/>
      <c r="M17" s="2"/>
      <c r="N17" s="2"/>
      <c r="O17" s="2"/>
    </row>
    <row r="18" spans="1:15" x14ac:dyDescent="0.35">
      <c r="A18" s="15" t="s">
        <v>311</v>
      </c>
      <c r="B18" s="16"/>
      <c r="C18" s="16"/>
      <c r="D18" s="16"/>
      <c r="E18" s="16"/>
      <c r="F18" s="16"/>
      <c r="G18" s="16"/>
      <c r="H18" s="16"/>
      <c r="I18" s="16"/>
      <c r="J18" s="16"/>
      <c r="K18" s="16"/>
      <c r="L18" s="16"/>
      <c r="M18" s="16"/>
      <c r="N18" s="16"/>
      <c r="O18" s="16"/>
    </row>
    <row r="19" spans="1:15" x14ac:dyDescent="0.35">
      <c r="A19" s="17" t="s">
        <v>112</v>
      </c>
      <c r="B19" s="39" t="s">
        <v>192</v>
      </c>
      <c r="C19" s="29">
        <f>C15*Inputs!$C$27</f>
        <v>0</v>
      </c>
      <c r="D19" s="29">
        <f>D15*Inputs!$C$27</f>
        <v>0</v>
      </c>
      <c r="E19" s="29">
        <f>E15*Inputs!$C$27</f>
        <v>0</v>
      </c>
      <c r="F19" s="29">
        <f>F15*Inputs!$C$27</f>
        <v>0</v>
      </c>
      <c r="G19" s="29">
        <f>G15*Inputs!$C$27</f>
        <v>0</v>
      </c>
      <c r="H19" s="29">
        <f>H15*Inputs!$C$27</f>
        <v>0</v>
      </c>
      <c r="I19" s="29">
        <f>I15*Inputs!$C$27</f>
        <v>179.48699999999999</v>
      </c>
      <c r="J19" s="29">
        <f>J15*Inputs!$C$27</f>
        <v>269.23050000000001</v>
      </c>
      <c r="K19" s="29">
        <f>K15*Inputs!$C$27</f>
        <v>358.97399999999999</v>
      </c>
      <c r="L19" s="29">
        <f>L15*Inputs!$C$27</f>
        <v>448.71749999999997</v>
      </c>
      <c r="M19" s="29">
        <f>M15*Inputs!$C$27</f>
        <v>538.46100000000001</v>
      </c>
      <c r="N19" s="29">
        <f>N15*Inputs!$C$27</f>
        <v>629.28250000000003</v>
      </c>
      <c r="O19" s="24">
        <f>SUM(C19:N19)</f>
        <v>2424.1525000000001</v>
      </c>
    </row>
    <row r="20" spans="1:15" x14ac:dyDescent="0.35">
      <c r="A20" s="17" t="s">
        <v>115</v>
      </c>
      <c r="B20" s="39" t="s">
        <v>192</v>
      </c>
      <c r="C20" s="29">
        <f>C16*Inputs!$C$31</f>
        <v>0</v>
      </c>
      <c r="D20" s="29">
        <f>D16*Inputs!$C$31</f>
        <v>0</v>
      </c>
      <c r="E20" s="29">
        <f>E16*Inputs!$C$31</f>
        <v>0</v>
      </c>
      <c r="F20" s="29">
        <f>F16*Inputs!$C$31</f>
        <v>0</v>
      </c>
      <c r="G20" s="29">
        <f>G16*Inputs!$C$31</f>
        <v>0</v>
      </c>
      <c r="H20" s="29">
        <f>H16*Inputs!$C$31</f>
        <v>0</v>
      </c>
      <c r="I20" s="29">
        <f>I16*Inputs!$C$31</f>
        <v>298.70099999999996</v>
      </c>
      <c r="J20" s="29">
        <f>J16*Inputs!$C$31</f>
        <v>448.05150000000003</v>
      </c>
      <c r="K20" s="29">
        <f>K16*Inputs!$C$31</f>
        <v>597.40199999999993</v>
      </c>
      <c r="L20" s="29">
        <f>L16*Inputs!$C$31</f>
        <v>746.75250000000005</v>
      </c>
      <c r="M20" s="29">
        <f>M16*Inputs!$C$31</f>
        <v>896.10300000000007</v>
      </c>
      <c r="N20" s="29">
        <f>N16*Inputs!$C$31</f>
        <v>1047.2474999999999</v>
      </c>
      <c r="O20" s="24">
        <f>SUM(C20:N20)</f>
        <v>4034.2575000000002</v>
      </c>
    </row>
    <row r="21" spans="1:15" x14ac:dyDescent="0.35">
      <c r="A21" s="2"/>
      <c r="B21" s="2"/>
      <c r="C21" s="2"/>
      <c r="D21" s="2"/>
      <c r="E21" s="2"/>
      <c r="F21" s="2"/>
      <c r="G21" s="2"/>
      <c r="H21" s="2"/>
      <c r="I21" s="2"/>
      <c r="J21" s="2"/>
      <c r="K21" s="2"/>
      <c r="L21" s="2"/>
      <c r="M21" s="2"/>
      <c r="N21" s="2"/>
      <c r="O21" s="2"/>
    </row>
    <row r="22" spans="1:15" x14ac:dyDescent="0.35">
      <c r="A22" s="15" t="s">
        <v>53</v>
      </c>
      <c r="B22" s="16"/>
      <c r="C22" s="16"/>
      <c r="D22" s="16"/>
      <c r="E22" s="16"/>
      <c r="F22" s="16"/>
      <c r="G22" s="16"/>
      <c r="H22" s="16"/>
      <c r="I22" s="16"/>
      <c r="J22" s="16"/>
      <c r="K22" s="16"/>
      <c r="L22" s="16"/>
      <c r="M22" s="16"/>
      <c r="N22" s="16"/>
      <c r="O22" s="16"/>
    </row>
    <row r="23" spans="1:15" x14ac:dyDescent="0.35">
      <c r="A23" s="17" t="s">
        <v>312</v>
      </c>
      <c r="B23" s="39" t="s">
        <v>187</v>
      </c>
      <c r="C23" s="49">
        <f>C15*Inputs!$C$35</f>
        <v>0</v>
      </c>
      <c r="D23" s="49">
        <f>D15*Inputs!$C$35</f>
        <v>0</v>
      </c>
      <c r="E23" s="49">
        <f>E15*Inputs!$C$35</f>
        <v>0</v>
      </c>
      <c r="F23" s="49">
        <f>F15*Inputs!$C$35</f>
        <v>0</v>
      </c>
      <c r="G23" s="49">
        <f>G15*Inputs!$C$35</f>
        <v>0</v>
      </c>
      <c r="H23" s="49">
        <f>H15*Inputs!$C$35</f>
        <v>0</v>
      </c>
      <c r="I23" s="49">
        <f>I15*Inputs!$C$35</f>
        <v>25.641000000000005</v>
      </c>
      <c r="J23" s="49">
        <f>J15*Inputs!$C$35</f>
        <v>38.461500000000001</v>
      </c>
      <c r="K23" s="49">
        <f>K15*Inputs!$C$35</f>
        <v>51.282000000000011</v>
      </c>
      <c r="L23" s="49">
        <f>L15*Inputs!$C$35</f>
        <v>64.102500000000006</v>
      </c>
      <c r="M23" s="49">
        <f>M15*Inputs!$C$35</f>
        <v>76.923000000000002</v>
      </c>
      <c r="N23" s="49">
        <f>N15*Inputs!$C$35</f>
        <v>89.897500000000008</v>
      </c>
      <c r="O23" s="50">
        <f t="shared" ref="O23:O31" si="2">SUM(C23:N23)</f>
        <v>346.3075</v>
      </c>
    </row>
    <row r="24" spans="1:15" x14ac:dyDescent="0.35">
      <c r="A24" s="17" t="s">
        <v>313</v>
      </c>
      <c r="B24" s="39" t="s">
        <v>187</v>
      </c>
      <c r="C24" s="49">
        <f>C16*Inputs!$C$36</f>
        <v>0</v>
      </c>
      <c r="D24" s="49">
        <f>D16*Inputs!$C$36</f>
        <v>0</v>
      </c>
      <c r="E24" s="49">
        <f>E16*Inputs!$C$36</f>
        <v>0</v>
      </c>
      <c r="F24" s="49">
        <f>F16*Inputs!$C$36</f>
        <v>0</v>
      </c>
      <c r="G24" s="49">
        <f>G16*Inputs!$C$36</f>
        <v>0</v>
      </c>
      <c r="H24" s="49">
        <f>H16*Inputs!$C$36</f>
        <v>0</v>
      </c>
      <c r="I24" s="49">
        <f>I16*Inputs!$C$36</f>
        <v>1.5317999999999998</v>
      </c>
      <c r="J24" s="49">
        <f>J16*Inputs!$C$36</f>
        <v>2.2976999999999999</v>
      </c>
      <c r="K24" s="49">
        <f>K16*Inputs!$C$36</f>
        <v>3.0635999999999997</v>
      </c>
      <c r="L24" s="49">
        <f>L16*Inputs!$C$36</f>
        <v>3.8294999999999999</v>
      </c>
      <c r="M24" s="49">
        <f>M16*Inputs!$C$36</f>
        <v>4.5953999999999997</v>
      </c>
      <c r="N24" s="49">
        <f>N16*Inputs!$C$36</f>
        <v>5.3704999999999998</v>
      </c>
      <c r="O24" s="50">
        <f t="shared" si="2"/>
        <v>20.688499999999998</v>
      </c>
    </row>
    <row r="25" spans="1:15" x14ac:dyDescent="0.35">
      <c r="A25" s="17" t="s">
        <v>314</v>
      </c>
      <c r="B25" s="39" t="s">
        <v>192</v>
      </c>
      <c r="C25" s="29">
        <f>C23*Inputs!$C$28</f>
        <v>0</v>
      </c>
      <c r="D25" s="29">
        <f>D23*Inputs!$C$28</f>
        <v>0</v>
      </c>
      <c r="E25" s="29">
        <f>E23*Inputs!$C$28</f>
        <v>0</v>
      </c>
      <c r="F25" s="29">
        <f>F23*Inputs!$C$28</f>
        <v>0</v>
      </c>
      <c r="G25" s="29">
        <f>G23*Inputs!$C$28</f>
        <v>0</v>
      </c>
      <c r="H25" s="29">
        <f>H23*Inputs!$C$28</f>
        <v>0</v>
      </c>
      <c r="I25" s="29">
        <f>I23*Inputs!$C$28</f>
        <v>89.743500000000012</v>
      </c>
      <c r="J25" s="29">
        <f>J23*Inputs!$C$28</f>
        <v>134.61525</v>
      </c>
      <c r="K25" s="29">
        <f>K23*Inputs!$C$28</f>
        <v>179.48700000000002</v>
      </c>
      <c r="L25" s="29">
        <f>L23*Inputs!$C$28</f>
        <v>224.35875000000001</v>
      </c>
      <c r="M25" s="29">
        <f>M23*Inputs!$C$28</f>
        <v>269.23050000000001</v>
      </c>
      <c r="N25" s="29">
        <f>N23*Inputs!$C$28</f>
        <v>314.64125000000001</v>
      </c>
      <c r="O25" s="24">
        <f t="shared" si="2"/>
        <v>1212.0762500000001</v>
      </c>
    </row>
    <row r="26" spans="1:15" x14ac:dyDescent="0.35">
      <c r="A26" s="17" t="s">
        <v>315</v>
      </c>
      <c r="B26" s="39" t="s">
        <v>192</v>
      </c>
      <c r="C26" s="29">
        <f>C23*Inputs!$C$37*Inputs!$C$27</f>
        <v>0</v>
      </c>
      <c r="D26" s="29">
        <f>D23*Inputs!$C$37*Inputs!$C$27</f>
        <v>0</v>
      </c>
      <c r="E26" s="29">
        <f>E23*Inputs!$C$37*Inputs!$C$27</f>
        <v>0</v>
      </c>
      <c r="F26" s="29">
        <f>F23*Inputs!$C$37*Inputs!$C$27</f>
        <v>0</v>
      </c>
      <c r="G26" s="29">
        <f>G23*Inputs!$C$37*Inputs!$C$27</f>
        <v>0</v>
      </c>
      <c r="H26" s="29">
        <f>H23*Inputs!$C$37*Inputs!$C$27</f>
        <v>0</v>
      </c>
      <c r="I26" s="29">
        <f>I23*Inputs!$C$37*Inputs!$C$27</f>
        <v>8.9743500000000012</v>
      </c>
      <c r="J26" s="29">
        <f>J23*Inputs!$C$37*Inputs!$C$27</f>
        <v>13.461525</v>
      </c>
      <c r="K26" s="29">
        <f>K23*Inputs!$C$37*Inputs!$C$27</f>
        <v>17.948700000000002</v>
      </c>
      <c r="L26" s="29">
        <f>L23*Inputs!$C$37*Inputs!$C$27</f>
        <v>22.435874999999999</v>
      </c>
      <c r="M26" s="29">
        <f>M23*Inputs!$C$37*Inputs!$C$27</f>
        <v>26.92305</v>
      </c>
      <c r="N26" s="29">
        <f>N23*Inputs!$C$37*Inputs!$C$27</f>
        <v>31.464124999999999</v>
      </c>
      <c r="O26" s="24">
        <f t="shared" si="2"/>
        <v>121.20762500000001</v>
      </c>
    </row>
    <row r="27" spans="1:15" x14ac:dyDescent="0.35">
      <c r="A27" s="17" t="s">
        <v>316</v>
      </c>
      <c r="B27" s="39" t="s">
        <v>192</v>
      </c>
      <c r="C27" s="29">
        <f>C24*Inputs!$C$37*Inputs!$C$31</f>
        <v>0</v>
      </c>
      <c r="D27" s="29">
        <f>D24*Inputs!$C$37*Inputs!$C$31</f>
        <v>0</v>
      </c>
      <c r="E27" s="29">
        <f>E24*Inputs!$C$37*Inputs!$C$31</f>
        <v>0</v>
      </c>
      <c r="F27" s="29">
        <f>F24*Inputs!$C$37*Inputs!$C$31</f>
        <v>0</v>
      </c>
      <c r="G27" s="29">
        <f>G24*Inputs!$C$37*Inputs!$C$31</f>
        <v>0</v>
      </c>
      <c r="H27" s="29">
        <f>H24*Inputs!$C$37*Inputs!$C$31</f>
        <v>0</v>
      </c>
      <c r="I27" s="29">
        <f>I24*Inputs!$C$37*Inputs!$C$31</f>
        <v>2.9870099999999997</v>
      </c>
      <c r="J27" s="29">
        <f>J24*Inputs!$C$37*Inputs!$C$31</f>
        <v>4.4805150000000005</v>
      </c>
      <c r="K27" s="29">
        <f>K24*Inputs!$C$37*Inputs!$C$31</f>
        <v>5.9740199999999994</v>
      </c>
      <c r="L27" s="29">
        <f>L24*Inputs!$C$37*Inputs!$C$31</f>
        <v>7.4675250000000002</v>
      </c>
      <c r="M27" s="29">
        <f>M24*Inputs!$C$37*Inputs!$C$31</f>
        <v>8.9610300000000009</v>
      </c>
      <c r="N27" s="29">
        <f>N24*Inputs!$C$37*Inputs!$C$31</f>
        <v>10.472475000000001</v>
      </c>
      <c r="O27" s="24">
        <f t="shared" si="2"/>
        <v>40.342575000000004</v>
      </c>
    </row>
    <row r="28" spans="1:15" x14ac:dyDescent="0.35">
      <c r="A28" s="17" t="s">
        <v>317</v>
      </c>
      <c r="B28" s="39" t="s">
        <v>192</v>
      </c>
      <c r="C28" s="29">
        <f t="shared" ref="C28:N28" si="3">C25+C26+C27</f>
        <v>0</v>
      </c>
      <c r="D28" s="29">
        <f t="shared" si="3"/>
        <v>0</v>
      </c>
      <c r="E28" s="29">
        <f t="shared" si="3"/>
        <v>0</v>
      </c>
      <c r="F28" s="29">
        <f t="shared" si="3"/>
        <v>0</v>
      </c>
      <c r="G28" s="29">
        <f t="shared" si="3"/>
        <v>0</v>
      </c>
      <c r="H28" s="29">
        <f t="shared" si="3"/>
        <v>0</v>
      </c>
      <c r="I28" s="29">
        <f t="shared" si="3"/>
        <v>101.70486000000001</v>
      </c>
      <c r="J28" s="29">
        <f t="shared" si="3"/>
        <v>152.55728999999999</v>
      </c>
      <c r="K28" s="29">
        <f t="shared" si="3"/>
        <v>203.40972000000002</v>
      </c>
      <c r="L28" s="29">
        <f t="shared" si="3"/>
        <v>254.26215000000002</v>
      </c>
      <c r="M28" s="29">
        <f t="shared" si="3"/>
        <v>305.11457999999999</v>
      </c>
      <c r="N28" s="29">
        <f t="shared" si="3"/>
        <v>356.57785000000001</v>
      </c>
      <c r="O28" s="24">
        <f t="shared" si="2"/>
        <v>1373.6264500000002</v>
      </c>
    </row>
    <row r="29" spans="1:15" x14ac:dyDescent="0.35">
      <c r="A29" s="17" t="s">
        <v>318</v>
      </c>
      <c r="B29" s="39" t="s">
        <v>192</v>
      </c>
      <c r="C29" s="29">
        <f>(C23+C24)*Inputs!$C$37*Inputs!$C$19</f>
        <v>0</v>
      </c>
      <c r="D29" s="29">
        <f>(D23+D24)*Inputs!$C$37*Inputs!$C$19</f>
        <v>0</v>
      </c>
      <c r="E29" s="29">
        <f>(E23+E24)*Inputs!$C$37*Inputs!$C$19</f>
        <v>0</v>
      </c>
      <c r="F29" s="29">
        <f>(F23+F24)*Inputs!$C$37*Inputs!$C$19</f>
        <v>0</v>
      </c>
      <c r="G29" s="29">
        <f>(G23+G24)*Inputs!$C$37*Inputs!$C$19</f>
        <v>0</v>
      </c>
      <c r="H29" s="29">
        <f>(H23+H24)*Inputs!$C$37*Inputs!$C$19</f>
        <v>0</v>
      </c>
      <c r="I29" s="29">
        <f>(I23+I24)*Inputs!$C$37*Inputs!$C$19</f>
        <v>2717.2800000000007</v>
      </c>
      <c r="J29" s="29">
        <f>(J23+J24)*Inputs!$C$37*Inputs!$C$19</f>
        <v>4075.92</v>
      </c>
      <c r="K29" s="29">
        <f>(K23+K24)*Inputs!$C$37*Inputs!$C$19</f>
        <v>5434.5600000000013</v>
      </c>
      <c r="L29" s="29">
        <f>(L23+L24)*Inputs!$C$37*Inputs!$C$19</f>
        <v>6793.2</v>
      </c>
      <c r="M29" s="29">
        <f>(M23+M24)*Inputs!$C$37*Inputs!$C$19</f>
        <v>8151.84</v>
      </c>
      <c r="N29" s="29">
        <f>(N23+N24)*Inputs!$C$37*Inputs!$C$19</f>
        <v>9526.7999999999993</v>
      </c>
      <c r="O29" s="24">
        <f t="shared" si="2"/>
        <v>36699.600000000006</v>
      </c>
    </row>
    <row r="30" spans="1:15" x14ac:dyDescent="0.35">
      <c r="A30" s="17" t="s">
        <v>319</v>
      </c>
      <c r="B30" s="39" t="s">
        <v>192</v>
      </c>
      <c r="C30" s="29">
        <f>C29*Inputs!$C$32</f>
        <v>0</v>
      </c>
      <c r="D30" s="29">
        <f>D29*Inputs!$C$32</f>
        <v>0</v>
      </c>
      <c r="E30" s="29">
        <f>E29*Inputs!$C$32</f>
        <v>0</v>
      </c>
      <c r="F30" s="29">
        <f>F29*Inputs!$C$32</f>
        <v>0</v>
      </c>
      <c r="G30" s="29">
        <f>G29*Inputs!$C$32</f>
        <v>0</v>
      </c>
      <c r="H30" s="29">
        <f>H29*Inputs!$C$32</f>
        <v>0</v>
      </c>
      <c r="I30" s="29">
        <f>I29*Inputs!$C$32</f>
        <v>19.020960000000006</v>
      </c>
      <c r="J30" s="29">
        <f>J29*Inputs!$C$32</f>
        <v>28.53144</v>
      </c>
      <c r="K30" s="29">
        <f>K29*Inputs!$C$32</f>
        <v>38.041920000000012</v>
      </c>
      <c r="L30" s="29">
        <f>L29*Inputs!$C$32</f>
        <v>47.552399999999999</v>
      </c>
      <c r="M30" s="29">
        <f>M29*Inputs!$C$32</f>
        <v>57.06288</v>
      </c>
      <c r="N30" s="29">
        <f>N29*Inputs!$C$32</f>
        <v>66.687600000000003</v>
      </c>
      <c r="O30" s="24">
        <f t="shared" si="2"/>
        <v>256.8972</v>
      </c>
    </row>
    <row r="31" spans="1:15" x14ac:dyDescent="0.35">
      <c r="A31" s="34" t="s">
        <v>320</v>
      </c>
      <c r="B31" s="39" t="s">
        <v>192</v>
      </c>
      <c r="C31" s="24">
        <f t="shared" ref="C31:N31" si="4">C28+C30</f>
        <v>0</v>
      </c>
      <c r="D31" s="24">
        <f t="shared" si="4"/>
        <v>0</v>
      </c>
      <c r="E31" s="24">
        <f t="shared" si="4"/>
        <v>0</v>
      </c>
      <c r="F31" s="24">
        <f t="shared" si="4"/>
        <v>0</v>
      </c>
      <c r="G31" s="24">
        <f t="shared" si="4"/>
        <v>0</v>
      </c>
      <c r="H31" s="24">
        <f t="shared" si="4"/>
        <v>0</v>
      </c>
      <c r="I31" s="24">
        <f t="shared" si="4"/>
        <v>120.72582000000001</v>
      </c>
      <c r="J31" s="24">
        <f t="shared" si="4"/>
        <v>181.08873</v>
      </c>
      <c r="K31" s="24">
        <f t="shared" si="4"/>
        <v>241.45164000000003</v>
      </c>
      <c r="L31" s="24">
        <f t="shared" si="4"/>
        <v>301.81455</v>
      </c>
      <c r="M31" s="24">
        <f t="shared" si="4"/>
        <v>362.17746</v>
      </c>
      <c r="N31" s="24">
        <f t="shared" si="4"/>
        <v>423.26544999999999</v>
      </c>
      <c r="O31" s="24">
        <f t="shared" si="2"/>
        <v>1630.5236500000001</v>
      </c>
    </row>
    <row r="32" spans="1:15" x14ac:dyDescent="0.35">
      <c r="A32" s="2"/>
      <c r="B32" s="2"/>
      <c r="C32" s="2"/>
      <c r="D32" s="2"/>
      <c r="E32" s="2"/>
      <c r="F32" s="2"/>
      <c r="G32" s="2"/>
      <c r="H32" s="2"/>
      <c r="I32" s="2"/>
      <c r="J32" s="2"/>
      <c r="K32" s="2"/>
      <c r="L32" s="2"/>
      <c r="M32" s="2"/>
      <c r="N32" s="2"/>
      <c r="O32" s="2"/>
    </row>
    <row r="33" spans="1:15" x14ac:dyDescent="0.35">
      <c r="A33" s="15" t="s">
        <v>228</v>
      </c>
      <c r="B33" s="16"/>
      <c r="C33" s="16"/>
      <c r="D33" s="16"/>
      <c r="E33" s="16"/>
      <c r="F33" s="16"/>
      <c r="G33" s="16"/>
      <c r="H33" s="16"/>
      <c r="I33" s="16"/>
      <c r="J33" s="16"/>
      <c r="K33" s="16"/>
      <c r="L33" s="16"/>
      <c r="M33" s="16"/>
      <c r="N33" s="16"/>
      <c r="O33" s="16"/>
    </row>
    <row r="34" spans="1:15" x14ac:dyDescent="0.35">
      <c r="A34" s="17" t="s">
        <v>321</v>
      </c>
      <c r="B34" s="39" t="s">
        <v>230</v>
      </c>
      <c r="C34" s="29">
        <f>C9*Inputs!$C$40</f>
        <v>0</v>
      </c>
      <c r="D34" s="29">
        <f>D9*Inputs!$C$40</f>
        <v>0</v>
      </c>
      <c r="E34" s="29">
        <f>E9*Inputs!$C$40</f>
        <v>0</v>
      </c>
      <c r="F34" s="29">
        <f>F9*Inputs!$C$40</f>
        <v>0</v>
      </c>
      <c r="G34" s="29">
        <f>G9*Inputs!$C$40</f>
        <v>0</v>
      </c>
      <c r="H34" s="29">
        <f>H9*Inputs!$C$40</f>
        <v>0</v>
      </c>
      <c r="I34" s="29">
        <f>I9*Inputs!$C$40</f>
        <v>333</v>
      </c>
      <c r="J34" s="29">
        <f>J9*Inputs!$C$40</f>
        <v>666</v>
      </c>
      <c r="K34" s="29">
        <f>K9*Inputs!$C$40</f>
        <v>999</v>
      </c>
      <c r="L34" s="29">
        <f>L9*Inputs!$C$40</f>
        <v>1332</v>
      </c>
      <c r="M34" s="29">
        <f>M9*Inputs!$C$40</f>
        <v>1665</v>
      </c>
      <c r="N34" s="29">
        <f>N9*Inputs!$C$40</f>
        <v>2000</v>
      </c>
      <c r="O34" s="24">
        <f t="shared" ref="O34:O39" si="5">SUM(C34:N34)</f>
        <v>6995</v>
      </c>
    </row>
    <row r="35" spans="1:15" x14ac:dyDescent="0.35">
      <c r="A35" s="17" t="s">
        <v>55</v>
      </c>
      <c r="B35" s="39" t="s">
        <v>230</v>
      </c>
      <c r="C35" s="49">
        <f>C34*Inputs!$C$41</f>
        <v>0</v>
      </c>
      <c r="D35" s="49">
        <f>D34*Inputs!$C$41</f>
        <v>0</v>
      </c>
      <c r="E35" s="49">
        <f>E34*Inputs!$C$41</f>
        <v>0</v>
      </c>
      <c r="F35" s="49">
        <f>F34*Inputs!$C$41</f>
        <v>0</v>
      </c>
      <c r="G35" s="49">
        <f>G34*Inputs!$C$41</f>
        <v>0</v>
      </c>
      <c r="H35" s="49">
        <f>H34*Inputs!$C$41</f>
        <v>0</v>
      </c>
      <c r="I35" s="49">
        <f>I34*Inputs!$C$41</f>
        <v>66.600000000000009</v>
      </c>
      <c r="J35" s="49">
        <f>J34*Inputs!$C$41</f>
        <v>133.20000000000002</v>
      </c>
      <c r="K35" s="49">
        <f>K34*Inputs!$C$41</f>
        <v>199.8</v>
      </c>
      <c r="L35" s="49">
        <f>L34*Inputs!$C$41</f>
        <v>266.40000000000003</v>
      </c>
      <c r="M35" s="49">
        <f>M34*Inputs!$C$41</f>
        <v>333</v>
      </c>
      <c r="N35" s="49">
        <f>N34*Inputs!$C$41</f>
        <v>400</v>
      </c>
      <c r="O35" s="50">
        <f t="shared" si="5"/>
        <v>1399</v>
      </c>
    </row>
    <row r="36" spans="1:15" x14ac:dyDescent="0.35">
      <c r="A36" s="17" t="s">
        <v>120</v>
      </c>
      <c r="B36" s="39" t="s">
        <v>192</v>
      </c>
      <c r="C36" s="29">
        <f>C35*Inputs!$C$42</f>
        <v>0</v>
      </c>
      <c r="D36" s="29">
        <f>D35*Inputs!$C$42</f>
        <v>0</v>
      </c>
      <c r="E36" s="29">
        <f>E35*Inputs!$C$42</f>
        <v>0</v>
      </c>
      <c r="F36" s="29">
        <f>F35*Inputs!$C$42</f>
        <v>0</v>
      </c>
      <c r="G36" s="29">
        <f>G35*Inputs!$C$42</f>
        <v>0</v>
      </c>
      <c r="H36" s="29">
        <f>H35*Inputs!$C$42</f>
        <v>0</v>
      </c>
      <c r="I36" s="29">
        <f>I35*Inputs!$C$42</f>
        <v>33.300000000000004</v>
      </c>
      <c r="J36" s="29">
        <f>J35*Inputs!$C$42</f>
        <v>66.600000000000009</v>
      </c>
      <c r="K36" s="29">
        <f>K35*Inputs!$C$42</f>
        <v>99.9</v>
      </c>
      <c r="L36" s="29">
        <f>L35*Inputs!$C$42</f>
        <v>133.20000000000002</v>
      </c>
      <c r="M36" s="29">
        <f>M35*Inputs!$C$42</f>
        <v>166.5</v>
      </c>
      <c r="N36" s="29">
        <f>N35*Inputs!$C$42</f>
        <v>200</v>
      </c>
      <c r="O36" s="24">
        <f t="shared" si="5"/>
        <v>699.5</v>
      </c>
    </row>
    <row r="37" spans="1:15" x14ac:dyDescent="0.35">
      <c r="A37" s="17" t="s">
        <v>121</v>
      </c>
      <c r="B37" s="39" t="s">
        <v>192</v>
      </c>
      <c r="C37" s="29">
        <f>C35*Inputs!$C$43</f>
        <v>0</v>
      </c>
      <c r="D37" s="29">
        <f>D35*Inputs!$C$43</f>
        <v>0</v>
      </c>
      <c r="E37" s="29">
        <f>E35*Inputs!$C$43</f>
        <v>0</v>
      </c>
      <c r="F37" s="29">
        <f>F35*Inputs!$C$43</f>
        <v>0</v>
      </c>
      <c r="G37" s="29">
        <f>G35*Inputs!$C$43</f>
        <v>0</v>
      </c>
      <c r="H37" s="29">
        <f>H35*Inputs!$C$43</f>
        <v>0</v>
      </c>
      <c r="I37" s="29">
        <f>I35*Inputs!$C$43</f>
        <v>66.600000000000009</v>
      </c>
      <c r="J37" s="29">
        <f>J35*Inputs!$C$43</f>
        <v>133.20000000000002</v>
      </c>
      <c r="K37" s="29">
        <f>K35*Inputs!$C$43</f>
        <v>199.8</v>
      </c>
      <c r="L37" s="29">
        <f>L35*Inputs!$C$43</f>
        <v>266.40000000000003</v>
      </c>
      <c r="M37" s="29">
        <f>M35*Inputs!$C$43</f>
        <v>333</v>
      </c>
      <c r="N37" s="29">
        <f>N35*Inputs!$C$43</f>
        <v>400</v>
      </c>
      <c r="O37" s="24">
        <f t="shared" si="5"/>
        <v>1399</v>
      </c>
    </row>
    <row r="38" spans="1:15" x14ac:dyDescent="0.35">
      <c r="A38" s="17" t="s">
        <v>322</v>
      </c>
      <c r="B38" s="39" t="s">
        <v>57</v>
      </c>
      <c r="C38" s="29">
        <f>C9*Inputs!$C$44</f>
        <v>0</v>
      </c>
      <c r="D38" s="29">
        <f>D9*Inputs!$C$44</f>
        <v>0</v>
      </c>
      <c r="E38" s="29">
        <f>E9*Inputs!$C$44</f>
        <v>0</v>
      </c>
      <c r="F38" s="29">
        <f>F9*Inputs!$C$44</f>
        <v>0</v>
      </c>
      <c r="G38" s="29">
        <f>G9*Inputs!$C$44</f>
        <v>0</v>
      </c>
      <c r="H38" s="29">
        <f>H9*Inputs!$C$44</f>
        <v>0</v>
      </c>
      <c r="I38" s="29">
        <f>I9*Inputs!$C$44</f>
        <v>0</v>
      </c>
      <c r="J38" s="29">
        <f>J9*Inputs!$C$44</f>
        <v>0</v>
      </c>
      <c r="K38" s="29">
        <f>K9*Inputs!$C$44</f>
        <v>0</v>
      </c>
      <c r="L38" s="29">
        <f>L9*Inputs!$C$44</f>
        <v>0</v>
      </c>
      <c r="M38" s="29">
        <f>M9*Inputs!$C$44</f>
        <v>0</v>
      </c>
      <c r="N38" s="29">
        <f>N9*Inputs!$C$44</f>
        <v>0</v>
      </c>
      <c r="O38" s="24">
        <f t="shared" si="5"/>
        <v>0</v>
      </c>
    </row>
    <row r="39" spans="1:15" x14ac:dyDescent="0.35">
      <c r="A39" s="17" t="s">
        <v>57</v>
      </c>
      <c r="B39" s="39" t="s">
        <v>192</v>
      </c>
      <c r="C39" s="29">
        <f>C38*Inputs!$C$45</f>
        <v>0</v>
      </c>
      <c r="D39" s="29">
        <f>D38*Inputs!$C$45</f>
        <v>0</v>
      </c>
      <c r="E39" s="29">
        <f>E38*Inputs!$C$45</f>
        <v>0</v>
      </c>
      <c r="F39" s="29">
        <f>F38*Inputs!$C$45</f>
        <v>0</v>
      </c>
      <c r="G39" s="29">
        <f>G38*Inputs!$C$45</f>
        <v>0</v>
      </c>
      <c r="H39" s="29">
        <f>H38*Inputs!$C$45</f>
        <v>0</v>
      </c>
      <c r="I39" s="29">
        <f>I38*Inputs!$C$45</f>
        <v>0</v>
      </c>
      <c r="J39" s="29">
        <f>J38*Inputs!$C$45</f>
        <v>0</v>
      </c>
      <c r="K39" s="29">
        <f>K38*Inputs!$C$45</f>
        <v>0</v>
      </c>
      <c r="L39" s="29">
        <f>L38*Inputs!$C$45</f>
        <v>0</v>
      </c>
      <c r="M39" s="29">
        <f>M38*Inputs!$C$45</f>
        <v>0</v>
      </c>
      <c r="N39" s="29">
        <f>N38*Inputs!$C$45</f>
        <v>0</v>
      </c>
      <c r="O39" s="24">
        <f t="shared" si="5"/>
        <v>0</v>
      </c>
    </row>
    <row r="40" spans="1:15" x14ac:dyDescent="0.35">
      <c r="A40" s="2"/>
      <c r="B40" s="2"/>
      <c r="C40" s="2"/>
      <c r="D40" s="2"/>
      <c r="E40" s="2"/>
      <c r="F40" s="2"/>
      <c r="G40" s="2"/>
      <c r="H40" s="2"/>
      <c r="I40" s="2"/>
      <c r="J40" s="2"/>
      <c r="K40" s="2"/>
      <c r="L40" s="2"/>
      <c r="M40" s="2"/>
      <c r="N40" s="2"/>
      <c r="O40" s="2"/>
    </row>
    <row r="41" spans="1:15" x14ac:dyDescent="0.35">
      <c r="A41" s="15" t="s">
        <v>240</v>
      </c>
      <c r="B41" s="16"/>
      <c r="C41" s="16"/>
      <c r="D41" s="16"/>
      <c r="E41" s="16"/>
      <c r="F41" s="16"/>
      <c r="G41" s="16"/>
      <c r="H41" s="16"/>
      <c r="I41" s="16"/>
      <c r="J41" s="16"/>
      <c r="K41" s="16"/>
      <c r="L41" s="16"/>
      <c r="M41" s="16"/>
      <c r="N41" s="16"/>
      <c r="O41" s="16"/>
    </row>
    <row r="42" spans="1:15" x14ac:dyDescent="0.35">
      <c r="A42" s="17" t="s">
        <v>59</v>
      </c>
      <c r="B42" s="39" t="s">
        <v>242</v>
      </c>
      <c r="C42" s="49">
        <f>C9*Inputs!$C$48</f>
        <v>0</v>
      </c>
      <c r="D42" s="49">
        <f>D9*Inputs!$C$48</f>
        <v>0</v>
      </c>
      <c r="E42" s="49">
        <f>E9*Inputs!$C$48</f>
        <v>0</v>
      </c>
      <c r="F42" s="49">
        <f>F9*Inputs!$C$48</f>
        <v>0</v>
      </c>
      <c r="G42" s="49">
        <f>G9*Inputs!$C$48</f>
        <v>0</v>
      </c>
      <c r="H42" s="49">
        <f>H9*Inputs!$C$48</f>
        <v>0</v>
      </c>
      <c r="I42" s="49">
        <f>I9*Inputs!$C$48</f>
        <v>999</v>
      </c>
      <c r="J42" s="49">
        <f>J9*Inputs!$C$48</f>
        <v>1998</v>
      </c>
      <c r="K42" s="49">
        <f>K9*Inputs!$C$48</f>
        <v>2997</v>
      </c>
      <c r="L42" s="49">
        <f>L9*Inputs!$C$48</f>
        <v>3996</v>
      </c>
      <c r="M42" s="49">
        <f>M9*Inputs!$C$48</f>
        <v>4995</v>
      </c>
      <c r="N42" s="49">
        <f>N9*Inputs!$C$48</f>
        <v>6000</v>
      </c>
      <c r="O42" s="50">
        <f t="shared" ref="O42:O56" si="6">SUM(C42:N42)</f>
        <v>20985</v>
      </c>
    </row>
    <row r="43" spans="1:15" x14ac:dyDescent="0.35">
      <c r="A43" s="17" t="s">
        <v>323</v>
      </c>
      <c r="B43" s="39" t="s">
        <v>242</v>
      </c>
      <c r="C43" s="49">
        <f>C42*Inputs!$C$49</f>
        <v>0</v>
      </c>
      <c r="D43" s="49">
        <f>D42*Inputs!$C$49</f>
        <v>0</v>
      </c>
      <c r="E43" s="49">
        <f>E42*Inputs!$C$49</f>
        <v>0</v>
      </c>
      <c r="F43" s="49">
        <f>F42*Inputs!$C$49</f>
        <v>0</v>
      </c>
      <c r="G43" s="49">
        <f>G42*Inputs!$C$49</f>
        <v>0</v>
      </c>
      <c r="H43" s="49">
        <f>H42*Inputs!$C$49</f>
        <v>0</v>
      </c>
      <c r="I43" s="49">
        <f>I42*Inputs!$C$49</f>
        <v>599.4</v>
      </c>
      <c r="J43" s="49">
        <f>J42*Inputs!$C$49</f>
        <v>1198.8</v>
      </c>
      <c r="K43" s="49">
        <f>K42*Inputs!$C$49</f>
        <v>1798.2</v>
      </c>
      <c r="L43" s="49">
        <f>L42*Inputs!$C$49</f>
        <v>2397.6</v>
      </c>
      <c r="M43" s="49">
        <f>M42*Inputs!$C$49</f>
        <v>2997</v>
      </c>
      <c r="N43" s="49">
        <f>N42*Inputs!$C$49</f>
        <v>3600</v>
      </c>
      <c r="O43" s="50">
        <f t="shared" si="6"/>
        <v>12591</v>
      </c>
    </row>
    <row r="44" spans="1:15" x14ac:dyDescent="0.35">
      <c r="A44" s="17" t="s">
        <v>324</v>
      </c>
      <c r="B44" s="39" t="s">
        <v>242</v>
      </c>
      <c r="C44" s="49">
        <f>C42*Inputs!$C$50</f>
        <v>0</v>
      </c>
      <c r="D44" s="49">
        <f>D42*Inputs!$C$50</f>
        <v>0</v>
      </c>
      <c r="E44" s="49">
        <f>E42*Inputs!$C$50</f>
        <v>0</v>
      </c>
      <c r="F44" s="49">
        <f>F42*Inputs!$C$50</f>
        <v>0</v>
      </c>
      <c r="G44" s="49">
        <f>G42*Inputs!$C$50</f>
        <v>0</v>
      </c>
      <c r="H44" s="49">
        <f>H42*Inputs!$C$50</f>
        <v>0</v>
      </c>
      <c r="I44" s="49">
        <f>I42*Inputs!$C$50</f>
        <v>199.8</v>
      </c>
      <c r="J44" s="49">
        <f>J42*Inputs!$C$50</f>
        <v>399.6</v>
      </c>
      <c r="K44" s="49">
        <f>K42*Inputs!$C$50</f>
        <v>599.4</v>
      </c>
      <c r="L44" s="49">
        <f>L42*Inputs!$C$50</f>
        <v>799.2</v>
      </c>
      <c r="M44" s="49">
        <f>M42*Inputs!$C$50</f>
        <v>999</v>
      </c>
      <c r="N44" s="49">
        <f>N42*Inputs!$C$50</f>
        <v>1200</v>
      </c>
      <c r="O44" s="50">
        <f t="shared" si="6"/>
        <v>4197</v>
      </c>
    </row>
    <row r="45" spans="1:15" x14ac:dyDescent="0.35">
      <c r="A45" s="17" t="s">
        <v>325</v>
      </c>
      <c r="B45" s="39" t="s">
        <v>242</v>
      </c>
      <c r="C45" s="49">
        <f>C42*Inputs!$C$51</f>
        <v>0</v>
      </c>
      <c r="D45" s="49">
        <f>D42*Inputs!$C$51</f>
        <v>0</v>
      </c>
      <c r="E45" s="49">
        <f>E42*Inputs!$C$51</f>
        <v>0</v>
      </c>
      <c r="F45" s="49">
        <f>F42*Inputs!$C$51</f>
        <v>0</v>
      </c>
      <c r="G45" s="49">
        <f>G42*Inputs!$C$51</f>
        <v>0</v>
      </c>
      <c r="H45" s="49">
        <f>H42*Inputs!$C$51</f>
        <v>0</v>
      </c>
      <c r="I45" s="49">
        <f>I42*Inputs!$C$51</f>
        <v>199.8</v>
      </c>
      <c r="J45" s="49">
        <f>J42*Inputs!$C$51</f>
        <v>399.6</v>
      </c>
      <c r="K45" s="49">
        <f>K42*Inputs!$C$51</f>
        <v>599.4</v>
      </c>
      <c r="L45" s="49">
        <f>L42*Inputs!$C$51</f>
        <v>799.2</v>
      </c>
      <c r="M45" s="49">
        <f>M42*Inputs!$C$51</f>
        <v>999</v>
      </c>
      <c r="N45" s="49">
        <f>N42*Inputs!$C$51</f>
        <v>1200</v>
      </c>
      <c r="O45" s="50">
        <f t="shared" si="6"/>
        <v>4197</v>
      </c>
    </row>
    <row r="46" spans="1:15" x14ac:dyDescent="0.35">
      <c r="A46" s="17" t="s">
        <v>253</v>
      </c>
      <c r="B46" s="39" t="s">
        <v>242</v>
      </c>
      <c r="C46" s="49">
        <f>C43*Inputs!$C$53</f>
        <v>0</v>
      </c>
      <c r="D46" s="49">
        <f>D43*Inputs!$C$53</f>
        <v>0</v>
      </c>
      <c r="E46" s="49">
        <f>E43*Inputs!$C$53</f>
        <v>0</v>
      </c>
      <c r="F46" s="49">
        <f>F43*Inputs!$C$53</f>
        <v>0</v>
      </c>
      <c r="G46" s="49">
        <f>G43*Inputs!$C$53</f>
        <v>0</v>
      </c>
      <c r="H46" s="49">
        <f>H43*Inputs!$C$53</f>
        <v>0</v>
      </c>
      <c r="I46" s="49">
        <f>I43*Inputs!$C$53</f>
        <v>179.82</v>
      </c>
      <c r="J46" s="49">
        <f>J43*Inputs!$C$53</f>
        <v>359.64</v>
      </c>
      <c r="K46" s="49">
        <f>K43*Inputs!$C$53</f>
        <v>539.46</v>
      </c>
      <c r="L46" s="49">
        <f>L43*Inputs!$C$53</f>
        <v>719.28</v>
      </c>
      <c r="M46" s="49">
        <f>M43*Inputs!$C$53</f>
        <v>899.1</v>
      </c>
      <c r="N46" s="49">
        <f>N43*Inputs!$C$53</f>
        <v>1080</v>
      </c>
      <c r="O46" s="50">
        <f t="shared" si="6"/>
        <v>3777.3</v>
      </c>
    </row>
    <row r="47" spans="1:15" x14ac:dyDescent="0.35">
      <c r="A47" s="17" t="s">
        <v>326</v>
      </c>
      <c r="B47" s="39" t="s">
        <v>242</v>
      </c>
      <c r="C47" s="49">
        <f t="shared" ref="C47:N47" si="7">C44+C46</f>
        <v>0</v>
      </c>
      <c r="D47" s="49">
        <f t="shared" si="7"/>
        <v>0</v>
      </c>
      <c r="E47" s="49">
        <f t="shared" si="7"/>
        <v>0</v>
      </c>
      <c r="F47" s="49">
        <f t="shared" si="7"/>
        <v>0</v>
      </c>
      <c r="G47" s="49">
        <f t="shared" si="7"/>
        <v>0</v>
      </c>
      <c r="H47" s="49">
        <f t="shared" si="7"/>
        <v>0</v>
      </c>
      <c r="I47" s="49">
        <f t="shared" si="7"/>
        <v>379.62</v>
      </c>
      <c r="J47" s="49">
        <f t="shared" si="7"/>
        <v>759.24</v>
      </c>
      <c r="K47" s="49">
        <f t="shared" si="7"/>
        <v>1138.8600000000001</v>
      </c>
      <c r="L47" s="49">
        <f t="shared" si="7"/>
        <v>1518.48</v>
      </c>
      <c r="M47" s="49">
        <f t="shared" si="7"/>
        <v>1898.1</v>
      </c>
      <c r="N47" s="49">
        <f t="shared" si="7"/>
        <v>2280</v>
      </c>
      <c r="O47" s="50">
        <f t="shared" si="6"/>
        <v>7974.3</v>
      </c>
    </row>
    <row r="48" spans="1:15" x14ac:dyDescent="0.35">
      <c r="A48" s="17" t="s">
        <v>327</v>
      </c>
      <c r="B48" s="39" t="s">
        <v>328</v>
      </c>
      <c r="C48" s="29">
        <f>C47*Inputs!$C$56</f>
        <v>0</v>
      </c>
      <c r="D48" s="29">
        <f>D47*Inputs!$C$56</f>
        <v>0</v>
      </c>
      <c r="E48" s="29">
        <f>E47*Inputs!$C$56</f>
        <v>0</v>
      </c>
      <c r="F48" s="29">
        <f>F47*Inputs!$C$56</f>
        <v>0</v>
      </c>
      <c r="G48" s="29">
        <f>G47*Inputs!$C$56</f>
        <v>0</v>
      </c>
      <c r="H48" s="29">
        <f>H47*Inputs!$C$56</f>
        <v>0</v>
      </c>
      <c r="I48" s="29">
        <f>I47*Inputs!$C$56</f>
        <v>2657.34</v>
      </c>
      <c r="J48" s="29">
        <f>J47*Inputs!$C$56</f>
        <v>5314.68</v>
      </c>
      <c r="K48" s="29">
        <f>K47*Inputs!$C$56</f>
        <v>7972.02</v>
      </c>
      <c r="L48" s="29">
        <f>L47*Inputs!$C$56</f>
        <v>10629.36</v>
      </c>
      <c r="M48" s="29">
        <f>M47*Inputs!$C$56</f>
        <v>13286.699999999999</v>
      </c>
      <c r="N48" s="29">
        <f>N47*Inputs!$C$56</f>
        <v>15960</v>
      </c>
      <c r="O48" s="24">
        <f t="shared" si="6"/>
        <v>55820.1</v>
      </c>
    </row>
    <row r="49" spans="1:15" x14ac:dyDescent="0.35">
      <c r="A49" s="17" t="s">
        <v>124</v>
      </c>
      <c r="B49" s="39" t="s">
        <v>192</v>
      </c>
      <c r="C49" s="29">
        <f>(C43+C45)*Inputs!$C$54</f>
        <v>0</v>
      </c>
      <c r="D49" s="29">
        <f>(D43+D45)*Inputs!$C$54</f>
        <v>0</v>
      </c>
      <c r="E49" s="29">
        <f>(E43+E45)*Inputs!$C$54</f>
        <v>0</v>
      </c>
      <c r="F49" s="29">
        <f>(F43+F45)*Inputs!$C$54</f>
        <v>0</v>
      </c>
      <c r="G49" s="29">
        <f>(G43+G45)*Inputs!$C$54</f>
        <v>0</v>
      </c>
      <c r="H49" s="29">
        <f>(H43+H45)*Inputs!$C$54</f>
        <v>0</v>
      </c>
      <c r="I49" s="29">
        <f>(I43+I45)*Inputs!$C$54</f>
        <v>711.28800000000001</v>
      </c>
      <c r="J49" s="29">
        <f>(J43+J45)*Inputs!$C$54</f>
        <v>1422.576</v>
      </c>
      <c r="K49" s="29">
        <f>(K43+K45)*Inputs!$C$54</f>
        <v>2133.864</v>
      </c>
      <c r="L49" s="29">
        <f>(L43+L45)*Inputs!$C$54</f>
        <v>2845.152</v>
      </c>
      <c r="M49" s="29">
        <f>(M43+M45)*Inputs!$C$54</f>
        <v>3556.44</v>
      </c>
      <c r="N49" s="29">
        <f>(N43+N45)*Inputs!$C$54</f>
        <v>4272</v>
      </c>
      <c r="O49" s="24">
        <f t="shared" si="6"/>
        <v>14941.32</v>
      </c>
    </row>
    <row r="50" spans="1:15" x14ac:dyDescent="0.35">
      <c r="A50" s="17" t="s">
        <v>126</v>
      </c>
      <c r="B50" s="39" t="s">
        <v>192</v>
      </c>
      <c r="C50" s="29">
        <f>C43*Inputs!$C$55</f>
        <v>0</v>
      </c>
      <c r="D50" s="29">
        <f>D43*Inputs!$C$55</f>
        <v>0</v>
      </c>
      <c r="E50" s="29">
        <f>E43*Inputs!$C$55</f>
        <v>0</v>
      </c>
      <c r="F50" s="29">
        <f>F43*Inputs!$C$55</f>
        <v>0</v>
      </c>
      <c r="G50" s="29">
        <f>G43*Inputs!$C$55</f>
        <v>0</v>
      </c>
      <c r="H50" s="29">
        <f>H43*Inputs!$C$55</f>
        <v>0</v>
      </c>
      <c r="I50" s="29">
        <f>I43*Inputs!$C$55</f>
        <v>1192.806</v>
      </c>
      <c r="J50" s="29">
        <f>J43*Inputs!$C$55</f>
        <v>2385.6120000000001</v>
      </c>
      <c r="K50" s="29">
        <f>K43*Inputs!$C$55</f>
        <v>3578.4180000000001</v>
      </c>
      <c r="L50" s="29">
        <f>L43*Inputs!$C$55</f>
        <v>4771.2240000000002</v>
      </c>
      <c r="M50" s="29">
        <f>M43*Inputs!$C$55</f>
        <v>5964.03</v>
      </c>
      <c r="N50" s="29">
        <f>N43*Inputs!$C$55</f>
        <v>7164</v>
      </c>
      <c r="O50" s="24">
        <f t="shared" si="6"/>
        <v>25056.09</v>
      </c>
    </row>
    <row r="51" spans="1:15" x14ac:dyDescent="0.35">
      <c r="A51" s="17" t="s">
        <v>127</v>
      </c>
      <c r="B51" s="39" t="s">
        <v>192</v>
      </c>
      <c r="C51" s="29">
        <f>C48*Inputs!$C$57</f>
        <v>0</v>
      </c>
      <c r="D51" s="29">
        <f>D48*Inputs!$C$57</f>
        <v>0</v>
      </c>
      <c r="E51" s="29">
        <f>E48*Inputs!$C$57</f>
        <v>0</v>
      </c>
      <c r="F51" s="29">
        <f>F48*Inputs!$C$57</f>
        <v>0</v>
      </c>
      <c r="G51" s="29">
        <f>G48*Inputs!$C$57</f>
        <v>0</v>
      </c>
      <c r="H51" s="29">
        <f>H48*Inputs!$C$57</f>
        <v>0</v>
      </c>
      <c r="I51" s="29">
        <f>I48*Inputs!$C$57</f>
        <v>37.202760000000005</v>
      </c>
      <c r="J51" s="29">
        <f>J48*Inputs!$C$57</f>
        <v>74.40552000000001</v>
      </c>
      <c r="K51" s="29">
        <f>K48*Inputs!$C$57</f>
        <v>111.60828000000001</v>
      </c>
      <c r="L51" s="29">
        <f>L48*Inputs!$C$57</f>
        <v>148.81104000000002</v>
      </c>
      <c r="M51" s="29">
        <f>M48*Inputs!$C$57</f>
        <v>186.01379999999997</v>
      </c>
      <c r="N51" s="29">
        <f>N48*Inputs!$C$57</f>
        <v>223.44</v>
      </c>
      <c r="O51" s="24">
        <f t="shared" si="6"/>
        <v>781.48139999999989</v>
      </c>
    </row>
    <row r="52" spans="1:15" x14ac:dyDescent="0.35">
      <c r="A52" s="17" t="s">
        <v>128</v>
      </c>
      <c r="B52" s="39" t="s">
        <v>192</v>
      </c>
      <c r="C52" s="29">
        <f>C48*Inputs!$C$58</f>
        <v>0</v>
      </c>
      <c r="D52" s="29">
        <f>D48*Inputs!$C$58</f>
        <v>0</v>
      </c>
      <c r="E52" s="29">
        <f>E48*Inputs!$C$58</f>
        <v>0</v>
      </c>
      <c r="F52" s="29">
        <f>F48*Inputs!$C$58</f>
        <v>0</v>
      </c>
      <c r="G52" s="29">
        <f>G48*Inputs!$C$58</f>
        <v>0</v>
      </c>
      <c r="H52" s="29">
        <f>H48*Inputs!$C$58</f>
        <v>0</v>
      </c>
      <c r="I52" s="29">
        <f>I48*Inputs!$C$58</f>
        <v>8.2377540000000007</v>
      </c>
      <c r="J52" s="29">
        <f>J48*Inputs!$C$58</f>
        <v>16.475508000000001</v>
      </c>
      <c r="K52" s="29">
        <f>K48*Inputs!$C$58</f>
        <v>24.713262</v>
      </c>
      <c r="L52" s="29">
        <f>L48*Inputs!$C$58</f>
        <v>32.951016000000003</v>
      </c>
      <c r="M52" s="29">
        <f>M48*Inputs!$C$58</f>
        <v>41.188769999999998</v>
      </c>
      <c r="N52" s="29">
        <f>N48*Inputs!$C$58</f>
        <v>49.475999999999999</v>
      </c>
      <c r="O52" s="24">
        <f t="shared" si="6"/>
        <v>173.04231000000001</v>
      </c>
    </row>
    <row r="53" spans="1:15" x14ac:dyDescent="0.35">
      <c r="A53" s="17" t="s">
        <v>329</v>
      </c>
      <c r="B53" s="39" t="s">
        <v>328</v>
      </c>
      <c r="C53" s="29">
        <f>C9*Inputs!$C$59*Inputs!$C$60</f>
        <v>0</v>
      </c>
      <c r="D53" s="29">
        <f>D9*Inputs!$C$59*Inputs!$C$60</f>
        <v>0</v>
      </c>
      <c r="E53" s="29">
        <f>E9*Inputs!$C$59*Inputs!$C$60</f>
        <v>0</v>
      </c>
      <c r="F53" s="29">
        <f>F9*Inputs!$C$59*Inputs!$C$60</f>
        <v>0</v>
      </c>
      <c r="G53" s="29">
        <f>G9*Inputs!$C$59*Inputs!$C$60</f>
        <v>0</v>
      </c>
      <c r="H53" s="29">
        <f>H9*Inputs!$C$59*Inputs!$C$60</f>
        <v>0</v>
      </c>
      <c r="I53" s="29">
        <f>I9*Inputs!$C$59*Inputs!$C$60</f>
        <v>0</v>
      </c>
      <c r="J53" s="29">
        <f>J9*Inputs!$C$59*Inputs!$C$60</f>
        <v>0</v>
      </c>
      <c r="K53" s="29">
        <f>K9*Inputs!$C$59*Inputs!$C$60</f>
        <v>0</v>
      </c>
      <c r="L53" s="29">
        <f>L9*Inputs!$C$59*Inputs!$C$60</f>
        <v>0</v>
      </c>
      <c r="M53" s="29">
        <f>M9*Inputs!$C$59*Inputs!$C$60</f>
        <v>0</v>
      </c>
      <c r="N53" s="29">
        <f>N9*Inputs!$C$59*Inputs!$C$60</f>
        <v>0</v>
      </c>
      <c r="O53" s="24">
        <f t="shared" si="6"/>
        <v>0</v>
      </c>
    </row>
    <row r="54" spans="1:15" x14ac:dyDescent="0.35">
      <c r="A54" s="17" t="s">
        <v>63</v>
      </c>
      <c r="B54" s="39" t="s">
        <v>192</v>
      </c>
      <c r="C54" s="29">
        <f>C53*Inputs!$C$61</f>
        <v>0</v>
      </c>
      <c r="D54" s="29">
        <f>D53*Inputs!$C$61</f>
        <v>0</v>
      </c>
      <c r="E54" s="29">
        <f>E53*Inputs!$C$61</f>
        <v>0</v>
      </c>
      <c r="F54" s="29">
        <f>F53*Inputs!$C$61</f>
        <v>0</v>
      </c>
      <c r="G54" s="29">
        <f>G53*Inputs!$C$61</f>
        <v>0</v>
      </c>
      <c r="H54" s="29">
        <f>H53*Inputs!$C$61</f>
        <v>0</v>
      </c>
      <c r="I54" s="29">
        <f>I53*Inputs!$C$61</f>
        <v>0</v>
      </c>
      <c r="J54" s="29">
        <f>J53*Inputs!$C$61</f>
        <v>0</v>
      </c>
      <c r="K54" s="29">
        <f>K53*Inputs!$C$61</f>
        <v>0</v>
      </c>
      <c r="L54" s="29">
        <f>L53*Inputs!$C$61</f>
        <v>0</v>
      </c>
      <c r="M54" s="29">
        <f>M53*Inputs!$C$61</f>
        <v>0</v>
      </c>
      <c r="N54" s="29">
        <f>N53*Inputs!$C$61</f>
        <v>0</v>
      </c>
      <c r="O54" s="24">
        <f t="shared" si="6"/>
        <v>0</v>
      </c>
    </row>
    <row r="55" spans="1:15" x14ac:dyDescent="0.35">
      <c r="A55" s="17" t="s">
        <v>65</v>
      </c>
      <c r="B55" s="39" t="s">
        <v>273</v>
      </c>
      <c r="C55" s="49">
        <f>C9*Inputs!$C$62</f>
        <v>0</v>
      </c>
      <c r="D55" s="49">
        <f>D9*Inputs!$C$62</f>
        <v>0</v>
      </c>
      <c r="E55" s="49">
        <f>E9*Inputs!$C$62</f>
        <v>0</v>
      </c>
      <c r="F55" s="49">
        <f>F9*Inputs!$C$62</f>
        <v>0</v>
      </c>
      <c r="G55" s="49">
        <f>G9*Inputs!$C$62</f>
        <v>0</v>
      </c>
      <c r="H55" s="49">
        <f>H9*Inputs!$C$62</f>
        <v>0</v>
      </c>
      <c r="I55" s="49">
        <f>I9*Inputs!$C$62</f>
        <v>0</v>
      </c>
      <c r="J55" s="49">
        <f>J9*Inputs!$C$62</f>
        <v>0</v>
      </c>
      <c r="K55" s="49">
        <f>K9*Inputs!$C$62</f>
        <v>0</v>
      </c>
      <c r="L55" s="49">
        <f>L9*Inputs!$C$62</f>
        <v>0</v>
      </c>
      <c r="M55" s="49">
        <f>M9*Inputs!$C$62</f>
        <v>0</v>
      </c>
      <c r="N55" s="49">
        <f>N9*Inputs!$C$62</f>
        <v>0</v>
      </c>
      <c r="O55" s="50">
        <f t="shared" si="6"/>
        <v>0</v>
      </c>
    </row>
    <row r="56" spans="1:15" x14ac:dyDescent="0.35">
      <c r="A56" s="17" t="s">
        <v>129</v>
      </c>
      <c r="B56" s="39" t="s">
        <v>192</v>
      </c>
      <c r="C56" s="29">
        <f>C55*Inputs!$C$63</f>
        <v>0</v>
      </c>
      <c r="D56" s="29">
        <f>D55*Inputs!$C$63</f>
        <v>0</v>
      </c>
      <c r="E56" s="29">
        <f>E55*Inputs!$C$63</f>
        <v>0</v>
      </c>
      <c r="F56" s="29">
        <f>F55*Inputs!$C$63</f>
        <v>0</v>
      </c>
      <c r="G56" s="29">
        <f>G55*Inputs!$C$63</f>
        <v>0</v>
      </c>
      <c r="H56" s="29">
        <f>H55*Inputs!$C$63</f>
        <v>0</v>
      </c>
      <c r="I56" s="29">
        <f>I55*Inputs!$C$63</f>
        <v>0</v>
      </c>
      <c r="J56" s="29">
        <f>J55*Inputs!$C$63</f>
        <v>0</v>
      </c>
      <c r="K56" s="29">
        <f>K55*Inputs!$C$63</f>
        <v>0</v>
      </c>
      <c r="L56" s="29">
        <f>L55*Inputs!$C$63</f>
        <v>0</v>
      </c>
      <c r="M56" s="29">
        <f>M55*Inputs!$C$63</f>
        <v>0</v>
      </c>
      <c r="N56" s="29">
        <f>N55*Inputs!$C$63</f>
        <v>0</v>
      </c>
      <c r="O56" s="24">
        <f t="shared" si="6"/>
        <v>0</v>
      </c>
    </row>
    <row r="57" spans="1:15" x14ac:dyDescent="0.35">
      <c r="A57" s="2"/>
      <c r="B57" s="2"/>
      <c r="C57" s="2"/>
      <c r="D57" s="2"/>
      <c r="E57" s="2"/>
      <c r="F57" s="2"/>
      <c r="G57" s="2"/>
      <c r="H57" s="2"/>
      <c r="I57" s="2"/>
      <c r="J57" s="2"/>
      <c r="K57" s="2"/>
      <c r="L57" s="2"/>
      <c r="M57" s="2"/>
      <c r="N57" s="2"/>
      <c r="O57" s="2"/>
    </row>
    <row r="58" spans="1:15" x14ac:dyDescent="0.35">
      <c r="A58" s="15" t="s">
        <v>67</v>
      </c>
      <c r="B58" s="16"/>
      <c r="C58" s="16"/>
      <c r="D58" s="16"/>
      <c r="E58" s="16"/>
      <c r="F58" s="16"/>
      <c r="G58" s="16"/>
      <c r="H58" s="16"/>
      <c r="I58" s="16"/>
      <c r="J58" s="16"/>
      <c r="K58" s="16"/>
      <c r="L58" s="16"/>
      <c r="M58" s="16"/>
      <c r="N58" s="16"/>
      <c r="O58" s="16"/>
    </row>
    <row r="59" spans="1:15" x14ac:dyDescent="0.35">
      <c r="A59" s="17" t="s">
        <v>330</v>
      </c>
      <c r="B59" s="39" t="s">
        <v>174</v>
      </c>
      <c r="C59" s="29">
        <f>Inputs!C7</f>
        <v>1</v>
      </c>
      <c r="D59" s="29">
        <f>Inputs!D7</f>
        <v>1</v>
      </c>
      <c r="E59" s="29">
        <f>Inputs!E7</f>
        <v>1</v>
      </c>
      <c r="F59" s="29">
        <f>Inputs!F7</f>
        <v>1</v>
      </c>
      <c r="G59" s="29">
        <f>Inputs!G7</f>
        <v>3</v>
      </c>
      <c r="H59" s="29">
        <f>Inputs!H7</f>
        <v>3</v>
      </c>
      <c r="I59" s="29">
        <f>Inputs!I7</f>
        <v>3</v>
      </c>
      <c r="J59" s="29">
        <f>Inputs!J7</f>
        <v>3</v>
      </c>
      <c r="K59" s="29">
        <f>Inputs!K7</f>
        <v>3</v>
      </c>
      <c r="L59" s="29">
        <f>Inputs!L7</f>
        <v>3</v>
      </c>
      <c r="M59" s="29">
        <f>Inputs!M7</f>
        <v>3</v>
      </c>
      <c r="N59" s="29">
        <f>Inputs!N7</f>
        <v>3</v>
      </c>
      <c r="O59" s="24">
        <f>SUM(C59:N59)</f>
        <v>28</v>
      </c>
    </row>
    <row r="60" spans="1:15" x14ac:dyDescent="0.35">
      <c r="A60" s="17" t="s">
        <v>132</v>
      </c>
      <c r="B60" s="39" t="s">
        <v>192</v>
      </c>
      <c r="C60" s="29">
        <f>C59*Inputs!$C$66</f>
        <v>80</v>
      </c>
      <c r="D60" s="29">
        <f>D59*Inputs!$C$66</f>
        <v>80</v>
      </c>
      <c r="E60" s="29">
        <f>E59*Inputs!$C$66</f>
        <v>80</v>
      </c>
      <c r="F60" s="29">
        <f>F59*Inputs!$C$66</f>
        <v>80</v>
      </c>
      <c r="G60" s="29">
        <f>G59*Inputs!$C$66</f>
        <v>240</v>
      </c>
      <c r="H60" s="29">
        <f>H59*Inputs!$C$66</f>
        <v>240</v>
      </c>
      <c r="I60" s="29">
        <f>I59*Inputs!$C$66</f>
        <v>240</v>
      </c>
      <c r="J60" s="29">
        <f>J59*Inputs!$C$66</f>
        <v>240</v>
      </c>
      <c r="K60" s="29">
        <f>K59*Inputs!$C$66</f>
        <v>240</v>
      </c>
      <c r="L60" s="29">
        <f>L59*Inputs!$C$66</f>
        <v>240</v>
      </c>
      <c r="M60" s="29">
        <f>M59*Inputs!$C$66</f>
        <v>240</v>
      </c>
      <c r="N60" s="29">
        <f>N59*Inputs!$C$66</f>
        <v>240</v>
      </c>
      <c r="O60" s="24">
        <f>SUM(C60:N60)</f>
        <v>2240</v>
      </c>
    </row>
    <row r="61" spans="1:15" x14ac:dyDescent="0.35">
      <c r="A61" s="17" t="s">
        <v>134</v>
      </c>
      <c r="B61" s="39" t="s">
        <v>192</v>
      </c>
      <c r="C61" s="29">
        <f>Inputs!$C$67*Inputs!$C$68</f>
        <v>2</v>
      </c>
      <c r="D61" s="29">
        <f>Inputs!$C$67*Inputs!$C$68</f>
        <v>2</v>
      </c>
      <c r="E61" s="29">
        <f>Inputs!$C$67*Inputs!$C$68</f>
        <v>2</v>
      </c>
      <c r="F61" s="29">
        <f>Inputs!$C$67*Inputs!$C$68</f>
        <v>2</v>
      </c>
      <c r="G61" s="29">
        <f>Inputs!$C$67*Inputs!$C$68</f>
        <v>2</v>
      </c>
      <c r="H61" s="29">
        <f>Inputs!$C$67*Inputs!$C$68</f>
        <v>2</v>
      </c>
      <c r="I61" s="29">
        <f>Inputs!$C$67*Inputs!$C$68</f>
        <v>2</v>
      </c>
      <c r="J61" s="29">
        <f>Inputs!$C$67*Inputs!$C$68</f>
        <v>2</v>
      </c>
      <c r="K61" s="29">
        <f>Inputs!$C$67*Inputs!$C$68</f>
        <v>2</v>
      </c>
      <c r="L61" s="29">
        <f>Inputs!$C$67*Inputs!$C$68</f>
        <v>2</v>
      </c>
      <c r="M61" s="29">
        <f>Inputs!$C$67*Inputs!$C$68</f>
        <v>2</v>
      </c>
      <c r="N61" s="29">
        <f>Inputs!$C$67*Inputs!$C$68</f>
        <v>2</v>
      </c>
      <c r="O61" s="24">
        <f>SUM(C61:N61)</f>
        <v>24</v>
      </c>
    </row>
    <row r="62" spans="1:15" x14ac:dyDescent="0.35">
      <c r="A62" s="2"/>
      <c r="B62" s="2"/>
      <c r="C62" s="2"/>
      <c r="D62" s="2"/>
      <c r="E62" s="2"/>
      <c r="F62" s="2"/>
      <c r="G62" s="2"/>
      <c r="H62" s="2"/>
      <c r="I62" s="2"/>
      <c r="J62" s="2"/>
      <c r="K62" s="2"/>
      <c r="L62" s="2"/>
      <c r="M62" s="2"/>
      <c r="N62" s="2"/>
      <c r="O62" s="2"/>
    </row>
    <row r="63" spans="1:15" x14ac:dyDescent="0.35">
      <c r="A63" s="15" t="s">
        <v>285</v>
      </c>
      <c r="B63" s="16"/>
      <c r="C63" s="16"/>
      <c r="D63" s="16"/>
      <c r="E63" s="16"/>
      <c r="F63" s="16"/>
      <c r="G63" s="16"/>
      <c r="H63" s="16"/>
      <c r="I63" s="16"/>
      <c r="J63" s="16"/>
      <c r="K63" s="16"/>
      <c r="L63" s="16"/>
      <c r="M63" s="16"/>
      <c r="N63" s="16"/>
      <c r="O63" s="16"/>
    </row>
    <row r="64" spans="1:15" x14ac:dyDescent="0.35">
      <c r="A64" s="17" t="s">
        <v>287</v>
      </c>
      <c r="B64" s="39" t="s">
        <v>287</v>
      </c>
      <c r="C64" s="29">
        <f>C9*Inputs!$C$71</f>
        <v>0</v>
      </c>
      <c r="D64" s="29">
        <f>D9*Inputs!$C$71</f>
        <v>0</v>
      </c>
      <c r="E64" s="29">
        <f>E9*Inputs!$C$71</f>
        <v>0</v>
      </c>
      <c r="F64" s="29">
        <f>F9*Inputs!$C$71</f>
        <v>0</v>
      </c>
      <c r="G64" s="29">
        <f>G9*Inputs!$C$71</f>
        <v>0</v>
      </c>
      <c r="H64" s="29">
        <f>H9*Inputs!$C$71</f>
        <v>0</v>
      </c>
      <c r="I64" s="29">
        <f>I9*Inputs!$C$71</f>
        <v>333</v>
      </c>
      <c r="J64" s="29">
        <f>J9*Inputs!$C$71</f>
        <v>666</v>
      </c>
      <c r="K64" s="29">
        <f>K9*Inputs!$C$71</f>
        <v>999</v>
      </c>
      <c r="L64" s="29">
        <f>L9*Inputs!$C$71</f>
        <v>1332</v>
      </c>
      <c r="M64" s="29">
        <f>M9*Inputs!$C$71</f>
        <v>1665</v>
      </c>
      <c r="N64" s="29">
        <f>N9*Inputs!$C$71</f>
        <v>2000</v>
      </c>
      <c r="O64" s="24">
        <f>N64</f>
        <v>2000</v>
      </c>
    </row>
    <row r="65" spans="1:15" x14ac:dyDescent="0.35">
      <c r="A65" s="17" t="s">
        <v>137</v>
      </c>
      <c r="B65" s="39" t="s">
        <v>192</v>
      </c>
      <c r="C65" s="29">
        <f>C64*Inputs!$C$72</f>
        <v>0</v>
      </c>
      <c r="D65" s="29">
        <f>D64*Inputs!$C$72</f>
        <v>0</v>
      </c>
      <c r="E65" s="29">
        <f>E64*Inputs!$C$72</f>
        <v>0</v>
      </c>
      <c r="F65" s="29">
        <f>F64*Inputs!$C$72</f>
        <v>0</v>
      </c>
      <c r="G65" s="29">
        <f>G64*Inputs!$C$72</f>
        <v>0</v>
      </c>
      <c r="H65" s="29">
        <f>H64*Inputs!$C$72</f>
        <v>0</v>
      </c>
      <c r="I65" s="29">
        <f>I64*Inputs!$C$72</f>
        <v>999</v>
      </c>
      <c r="J65" s="29">
        <f>J64*Inputs!$C$72</f>
        <v>1998</v>
      </c>
      <c r="K65" s="29">
        <f>K64*Inputs!$C$72</f>
        <v>2997</v>
      </c>
      <c r="L65" s="29">
        <f>L64*Inputs!$C$72</f>
        <v>3996</v>
      </c>
      <c r="M65" s="29">
        <f>M64*Inputs!$C$72</f>
        <v>4995</v>
      </c>
      <c r="N65" s="29">
        <f>N64*Inputs!$C$72</f>
        <v>6000</v>
      </c>
      <c r="O65" s="24">
        <f>SUM(C65:N65)</f>
        <v>20985</v>
      </c>
    </row>
    <row r="66" spans="1:15" x14ac:dyDescent="0.35">
      <c r="A66" s="17" t="s">
        <v>138</v>
      </c>
      <c r="B66" s="39" t="s">
        <v>192</v>
      </c>
      <c r="C66" s="29">
        <f>Inputs!$C$73</f>
        <v>8334</v>
      </c>
      <c r="D66" s="29">
        <f>Inputs!$C$73</f>
        <v>8334</v>
      </c>
      <c r="E66" s="29">
        <f>Inputs!$C$73</f>
        <v>8334</v>
      </c>
      <c r="F66" s="29">
        <f>Inputs!$C$73</f>
        <v>8334</v>
      </c>
      <c r="G66" s="29">
        <f>Inputs!$C$73</f>
        <v>8334</v>
      </c>
      <c r="H66" s="29">
        <f>Inputs!$C$73</f>
        <v>8334</v>
      </c>
      <c r="I66" s="29">
        <f>Inputs!$C$73</f>
        <v>8334</v>
      </c>
      <c r="J66" s="29">
        <f>Inputs!$C$73</f>
        <v>8334</v>
      </c>
      <c r="K66" s="29">
        <f>Inputs!$C$73</f>
        <v>8334</v>
      </c>
      <c r="L66" s="29">
        <f>Inputs!$C$73</f>
        <v>8334</v>
      </c>
      <c r="M66" s="29">
        <f>Inputs!$C$73</f>
        <v>8334</v>
      </c>
      <c r="N66" s="29">
        <f>Inputs!$C$73</f>
        <v>8334</v>
      </c>
      <c r="O66" s="24">
        <f>SUM(C66:N66)</f>
        <v>100008</v>
      </c>
    </row>
    <row r="67" spans="1:15" x14ac:dyDescent="0.35">
      <c r="A67" s="17" t="s">
        <v>140</v>
      </c>
      <c r="B67" s="39" t="s">
        <v>192</v>
      </c>
      <c r="C67" s="29">
        <f>C8*Inputs!$C$74</f>
        <v>0</v>
      </c>
      <c r="D67" s="29">
        <f>D8*Inputs!$C$74</f>
        <v>0</v>
      </c>
      <c r="E67" s="29">
        <f>E8*Inputs!$C$74</f>
        <v>0</v>
      </c>
      <c r="F67" s="29">
        <f>F8*Inputs!$C$74</f>
        <v>0</v>
      </c>
      <c r="G67" s="29">
        <f>G8*Inputs!$C$74</f>
        <v>0</v>
      </c>
      <c r="H67" s="29">
        <f>H8*Inputs!$C$74</f>
        <v>0</v>
      </c>
      <c r="I67" s="29">
        <f>I8*Inputs!$C$74</f>
        <v>333</v>
      </c>
      <c r="J67" s="29">
        <f>J8*Inputs!$C$74</f>
        <v>333</v>
      </c>
      <c r="K67" s="29">
        <f>K8*Inputs!$C$74</f>
        <v>333</v>
      </c>
      <c r="L67" s="29">
        <f>L8*Inputs!$C$74</f>
        <v>333</v>
      </c>
      <c r="M67" s="29">
        <f>M8*Inputs!$C$74</f>
        <v>333</v>
      </c>
      <c r="N67" s="29">
        <f>N8*Inputs!$C$74</f>
        <v>335</v>
      </c>
      <c r="O67" s="24">
        <f>SUM(C67:N67)</f>
        <v>2000</v>
      </c>
    </row>
    <row r="68" spans="1:15" x14ac:dyDescent="0.35">
      <c r="A68" s="17" t="s">
        <v>139</v>
      </c>
      <c r="B68" s="39" t="s">
        <v>192</v>
      </c>
      <c r="C68" s="29">
        <f>Inputs!$C$75/12</f>
        <v>666.66666666666663</v>
      </c>
      <c r="D68" s="29">
        <f>Inputs!$C$75/12</f>
        <v>666.66666666666663</v>
      </c>
      <c r="E68" s="29">
        <f>Inputs!$C$75/12</f>
        <v>666.66666666666663</v>
      </c>
      <c r="F68" s="29">
        <f>Inputs!$C$75/12</f>
        <v>666.66666666666663</v>
      </c>
      <c r="G68" s="29">
        <f>Inputs!$C$75/12</f>
        <v>666.66666666666663</v>
      </c>
      <c r="H68" s="29">
        <f>Inputs!$C$75/12</f>
        <v>666.66666666666663</v>
      </c>
      <c r="I68" s="29">
        <f>Inputs!$C$75/12</f>
        <v>666.66666666666663</v>
      </c>
      <c r="J68" s="29">
        <f>Inputs!$C$75/12</f>
        <v>666.66666666666663</v>
      </c>
      <c r="K68" s="29">
        <f>Inputs!$C$75/12</f>
        <v>666.66666666666663</v>
      </c>
      <c r="L68" s="29">
        <f>Inputs!$C$75/12</f>
        <v>666.66666666666663</v>
      </c>
      <c r="M68" s="29">
        <f>Inputs!$C$75/12</f>
        <v>666.66666666666663</v>
      </c>
      <c r="N68" s="29">
        <f>Inputs!$C$75/12</f>
        <v>666.66666666666663</v>
      </c>
      <c r="O68" s="24">
        <f>SUM(C68:N68)</f>
        <v>8000.0000000000009</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58"/>
  <sheetViews>
    <sheetView showGridLines="0" zoomScaleNormal="100" workbookViewId="0">
      <pane xSplit="2" ySplit="7" topLeftCell="D8" activePane="bottomRight" state="frozen"/>
      <selection pane="topRight" activeCell="D1" sqref="D1"/>
      <selection pane="bottomLeft" activeCell="A8" sqref="A8"/>
      <selection pane="bottomRight" activeCell="J8" sqref="J8"/>
    </sheetView>
  </sheetViews>
  <sheetFormatPr defaultColWidth="8.6328125" defaultRowHeight="14.5" x14ac:dyDescent="0.35"/>
  <cols>
    <col min="1" max="1" width="7" customWidth="1"/>
    <col min="2" max="2" width="26" customWidth="1"/>
    <col min="3" max="3" width="24" customWidth="1"/>
    <col min="4" max="4" width="40" customWidth="1"/>
    <col min="5" max="6" width="11" customWidth="1"/>
    <col min="7" max="7" width="7" customWidth="1"/>
    <col min="8" max="8" width="14" customWidth="1"/>
    <col min="9" max="9" width="12" customWidth="1"/>
    <col min="10" max="21" width="8" customWidth="1"/>
    <col min="22" max="33" width="10" customWidth="1"/>
    <col min="34" max="34" width="13" customWidth="1"/>
  </cols>
  <sheetData>
    <row r="1" spans="1:34" ht="18" customHeight="1" x14ac:dyDescent="0.4">
      <c r="A1" s="3" t="s">
        <v>331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row>
    <row r="2" spans="1:34" x14ac:dyDescent="0.35">
      <c r="A2" s="4" t="s">
        <v>332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row>
    <row r="3" spans="1:34" x14ac:dyDescent="0.3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row>
    <row r="4" spans="1:34" x14ac:dyDescent="0.35">
      <c r="A4" s="2"/>
      <c r="B4" s="2"/>
      <c r="C4" s="2"/>
      <c r="D4" s="2"/>
      <c r="E4" s="2"/>
      <c r="F4" s="2"/>
      <c r="G4" s="2"/>
      <c r="H4" s="2"/>
      <c r="I4" s="51" t="s">
        <v>333</v>
      </c>
      <c r="J4" s="52">
        <v>46388</v>
      </c>
      <c r="K4" s="52">
        <v>46419</v>
      </c>
      <c r="L4" s="52">
        <v>46447</v>
      </c>
      <c r="M4" s="52">
        <v>46478</v>
      </c>
      <c r="N4" s="52">
        <v>46508</v>
      </c>
      <c r="O4" s="52">
        <v>46539</v>
      </c>
      <c r="P4" s="52">
        <v>46569</v>
      </c>
      <c r="Q4" s="52">
        <v>46600</v>
      </c>
      <c r="R4" s="52">
        <v>46631</v>
      </c>
      <c r="S4" s="52">
        <v>46661</v>
      </c>
      <c r="T4" s="52">
        <v>46692</v>
      </c>
      <c r="U4" s="52">
        <v>46722</v>
      </c>
      <c r="V4" s="52">
        <v>46388</v>
      </c>
      <c r="W4" s="52">
        <v>46419</v>
      </c>
      <c r="X4" s="52">
        <v>46447</v>
      </c>
      <c r="Y4" s="52">
        <v>46478</v>
      </c>
      <c r="Z4" s="52">
        <v>46508</v>
      </c>
      <c r="AA4" s="52">
        <v>46539</v>
      </c>
      <c r="AB4" s="52">
        <v>46569</v>
      </c>
      <c r="AC4" s="52">
        <v>46600</v>
      </c>
      <c r="AD4" s="52">
        <v>46631</v>
      </c>
      <c r="AE4" s="52">
        <v>46661</v>
      </c>
      <c r="AF4" s="52">
        <v>46692</v>
      </c>
      <c r="AG4" s="52">
        <v>46722</v>
      </c>
      <c r="AH4" s="2"/>
    </row>
    <row r="5" spans="1:34" x14ac:dyDescent="0.35">
      <c r="A5" s="2"/>
      <c r="B5" s="2"/>
      <c r="C5" s="2"/>
      <c r="D5" s="2"/>
      <c r="E5" s="2"/>
      <c r="F5" s="2"/>
      <c r="G5" s="2"/>
      <c r="H5" s="2"/>
      <c r="I5" s="51" t="s">
        <v>334</v>
      </c>
      <c r="J5" s="52">
        <v>46418</v>
      </c>
      <c r="K5" s="52">
        <v>46446</v>
      </c>
      <c r="L5" s="52">
        <v>46477</v>
      </c>
      <c r="M5" s="52">
        <v>46507</v>
      </c>
      <c r="N5" s="52">
        <v>46538</v>
      </c>
      <c r="O5" s="52">
        <v>46568</v>
      </c>
      <c r="P5" s="52">
        <v>46599</v>
      </c>
      <c r="Q5" s="52">
        <v>46630</v>
      </c>
      <c r="R5" s="52">
        <v>46660</v>
      </c>
      <c r="S5" s="52">
        <v>46691</v>
      </c>
      <c r="T5" s="52">
        <v>46721</v>
      </c>
      <c r="U5" s="52">
        <v>46752</v>
      </c>
      <c r="V5" s="52">
        <v>46418</v>
      </c>
      <c r="W5" s="52">
        <v>46446</v>
      </c>
      <c r="X5" s="52">
        <v>46477</v>
      </c>
      <c r="Y5" s="52">
        <v>46507</v>
      </c>
      <c r="Z5" s="52">
        <v>46538</v>
      </c>
      <c r="AA5" s="52">
        <v>46568</v>
      </c>
      <c r="AB5" s="52">
        <v>46599</v>
      </c>
      <c r="AC5" s="52">
        <v>46630</v>
      </c>
      <c r="AD5" s="52">
        <v>46660</v>
      </c>
      <c r="AE5" s="52">
        <v>46691</v>
      </c>
      <c r="AF5" s="52">
        <v>46721</v>
      </c>
      <c r="AG5" s="52">
        <v>46752</v>
      </c>
      <c r="AH5" s="2"/>
    </row>
    <row r="6" spans="1:34" x14ac:dyDescent="0.35">
      <c r="A6" s="2"/>
      <c r="B6" s="2"/>
      <c r="C6" s="2"/>
      <c r="D6" s="2"/>
      <c r="E6" s="2"/>
      <c r="F6" s="2"/>
      <c r="G6" s="2"/>
      <c r="H6" s="2"/>
      <c r="I6" s="2"/>
      <c r="J6" s="34" t="s">
        <v>335</v>
      </c>
      <c r="K6" s="2"/>
      <c r="L6" s="2"/>
      <c r="M6" s="2"/>
      <c r="N6" s="2"/>
      <c r="O6" s="2"/>
      <c r="P6" s="2"/>
      <c r="Q6" s="2"/>
      <c r="R6" s="2"/>
      <c r="S6" s="2"/>
      <c r="T6" s="2"/>
      <c r="U6" s="2"/>
      <c r="V6" s="34" t="s">
        <v>336</v>
      </c>
      <c r="W6" s="2"/>
      <c r="X6" s="2"/>
      <c r="Y6" s="2"/>
      <c r="Z6" s="2"/>
      <c r="AA6" s="2"/>
      <c r="AB6" s="2"/>
      <c r="AC6" s="2"/>
      <c r="AD6" s="2"/>
      <c r="AE6" s="2"/>
      <c r="AF6" s="2"/>
      <c r="AG6" s="2"/>
      <c r="AH6" s="2"/>
    </row>
    <row r="7" spans="1:34" ht="42" customHeight="1" x14ac:dyDescent="0.35">
      <c r="A7" s="13" t="s">
        <v>337</v>
      </c>
      <c r="B7" s="13" t="s">
        <v>338</v>
      </c>
      <c r="C7" s="14" t="s">
        <v>339</v>
      </c>
      <c r="D7" s="14" t="s">
        <v>340</v>
      </c>
      <c r="E7" s="14" t="s">
        <v>341</v>
      </c>
      <c r="F7" s="14" t="s">
        <v>342</v>
      </c>
      <c r="G7" s="14" t="s">
        <v>343</v>
      </c>
      <c r="H7" s="14" t="s">
        <v>344</v>
      </c>
      <c r="I7" s="14" t="s">
        <v>345</v>
      </c>
      <c r="J7" s="14" t="s">
        <v>346</v>
      </c>
      <c r="K7" s="14" t="s">
        <v>347</v>
      </c>
      <c r="L7" s="14" t="s">
        <v>348</v>
      </c>
      <c r="M7" s="14" t="s">
        <v>349</v>
      </c>
      <c r="N7" s="14" t="s">
        <v>350</v>
      </c>
      <c r="O7" s="14" t="s">
        <v>351</v>
      </c>
      <c r="P7" s="14" t="s">
        <v>352</v>
      </c>
      <c r="Q7" s="14" t="s">
        <v>353</v>
      </c>
      <c r="R7" s="14" t="s">
        <v>354</v>
      </c>
      <c r="S7" s="14" t="s">
        <v>355</v>
      </c>
      <c r="T7" s="14" t="s">
        <v>356</v>
      </c>
      <c r="U7" s="14" t="s">
        <v>357</v>
      </c>
      <c r="V7" s="14" t="s">
        <v>358</v>
      </c>
      <c r="W7" s="14" t="s">
        <v>359</v>
      </c>
      <c r="X7" s="14" t="s">
        <v>360</v>
      </c>
      <c r="Y7" s="14" t="s">
        <v>361</v>
      </c>
      <c r="Z7" s="14" t="s">
        <v>362</v>
      </c>
      <c r="AA7" s="14" t="s">
        <v>363</v>
      </c>
      <c r="AB7" s="14" t="s">
        <v>364</v>
      </c>
      <c r="AC7" s="14" t="s">
        <v>365</v>
      </c>
      <c r="AD7" s="14" t="s">
        <v>366</v>
      </c>
      <c r="AE7" s="14" t="s">
        <v>367</v>
      </c>
      <c r="AF7" s="14" t="s">
        <v>368</v>
      </c>
      <c r="AG7" s="14" t="s">
        <v>369</v>
      </c>
      <c r="AH7" s="14" t="s">
        <v>370</v>
      </c>
    </row>
    <row r="8" spans="1:34" x14ac:dyDescent="0.35">
      <c r="A8" s="53" t="s">
        <v>371</v>
      </c>
      <c r="B8" s="53" t="s">
        <v>372</v>
      </c>
      <c r="C8" s="53" t="s">
        <v>373</v>
      </c>
      <c r="D8" s="53" t="s">
        <v>374</v>
      </c>
      <c r="E8" s="54">
        <v>46296</v>
      </c>
      <c r="F8" s="54"/>
      <c r="G8" s="55">
        <v>1</v>
      </c>
      <c r="H8" s="56">
        <v>58500</v>
      </c>
      <c r="I8" s="56">
        <v>0</v>
      </c>
      <c r="J8" s="35">
        <f t="shared" ref="J8:U17" si="0">IF($E8="",0,$G8*MAX(0,MIN(J$5,IF($F8="",J$5,$F8))-MAX(J$4,$E8)+1)/(J$5-J$4+1))</f>
        <v>1</v>
      </c>
      <c r="K8" s="35">
        <f t="shared" si="0"/>
        <v>1</v>
      </c>
      <c r="L8" s="35">
        <f t="shared" si="0"/>
        <v>1</v>
      </c>
      <c r="M8" s="35">
        <f t="shared" si="0"/>
        <v>1</v>
      </c>
      <c r="N8" s="35">
        <f t="shared" si="0"/>
        <v>1</v>
      </c>
      <c r="O8" s="35">
        <f t="shared" si="0"/>
        <v>1</v>
      </c>
      <c r="P8" s="35">
        <f t="shared" si="0"/>
        <v>1</v>
      </c>
      <c r="Q8" s="35">
        <f t="shared" si="0"/>
        <v>1</v>
      </c>
      <c r="R8" s="35">
        <f t="shared" si="0"/>
        <v>1</v>
      </c>
      <c r="S8" s="35">
        <f t="shared" si="0"/>
        <v>1</v>
      </c>
      <c r="T8" s="35">
        <f t="shared" si="0"/>
        <v>1</v>
      </c>
      <c r="U8" s="35">
        <f t="shared" si="0"/>
        <v>1</v>
      </c>
      <c r="V8" s="29">
        <f t="shared" ref="V8:V47" si="1">$H8/3*J8+IF(AND($E8&lt;&gt;"",$E8&gt;=V$4,$E8&lt;=V$5),$I8,0)</f>
        <v>19500</v>
      </c>
      <c r="W8" s="29">
        <f t="shared" ref="W8:W47" si="2">$H8/3*K8+IF(AND($E8&lt;&gt;"",$E8&gt;=W$4,$E8&lt;=W$5),$I8,0)</f>
        <v>19500</v>
      </c>
      <c r="X8" s="29">
        <f t="shared" ref="X8:X47" si="3">$H8/3*L8+IF(AND($E8&lt;&gt;"",$E8&gt;=X$4,$E8&lt;=X$5),$I8,0)</f>
        <v>19500</v>
      </c>
      <c r="Y8" s="29">
        <f t="shared" ref="Y8:Y47" si="4">$H8/3*M8+IF(AND($E8&lt;&gt;"",$E8&gt;=Y$4,$E8&lt;=Y$5),$I8,0)</f>
        <v>19500</v>
      </c>
      <c r="Z8" s="29">
        <f t="shared" ref="Z8:Z47" si="5">$H8/3*N8+IF(AND($E8&lt;&gt;"",$E8&gt;=Z$4,$E8&lt;=Z$5),$I8,0)</f>
        <v>19500</v>
      </c>
      <c r="AA8" s="29">
        <f t="shared" ref="AA8:AA47" si="6">$H8/3*O8+IF(AND($E8&lt;&gt;"",$E8&gt;=AA$4,$E8&lt;=AA$5),$I8,0)</f>
        <v>19500</v>
      </c>
      <c r="AB8" s="29">
        <f t="shared" ref="AB8:AB47" si="7">$H8/3*P8+IF(AND($E8&lt;&gt;"",$E8&gt;=AB$4,$E8&lt;=AB$5),$I8,0)</f>
        <v>19500</v>
      </c>
      <c r="AC8" s="29">
        <f t="shared" ref="AC8:AC47" si="8">$H8/3*Q8+IF(AND($E8&lt;&gt;"",$E8&gt;=AC$4,$E8&lt;=AC$5),$I8,0)</f>
        <v>19500</v>
      </c>
      <c r="AD8" s="29">
        <f t="shared" ref="AD8:AD47" si="9">$H8/3*R8+IF(AND($E8&lt;&gt;"",$E8&gt;=AD$4,$E8&lt;=AD$5),$I8,0)</f>
        <v>19500</v>
      </c>
      <c r="AE8" s="29">
        <f t="shared" ref="AE8:AE47" si="10">$H8/3*S8+IF(AND($E8&lt;&gt;"",$E8&gt;=AE$4,$E8&lt;=AE$5),$I8,0)</f>
        <v>19500</v>
      </c>
      <c r="AF8" s="29">
        <f t="shared" ref="AF8:AF47" si="11">$H8/3*T8+IF(AND($E8&lt;&gt;"",$E8&gt;=AF$4,$E8&lt;=AF$5),$I8,0)</f>
        <v>19500</v>
      </c>
      <c r="AG8" s="29">
        <f t="shared" ref="AG8:AG47" si="12">$H8/3*U8+IF(AND($E8&lt;&gt;"",$E8&gt;=AG$4,$E8&lt;=AG$5),$I8,0)</f>
        <v>19500</v>
      </c>
      <c r="AH8" s="24">
        <f t="shared" ref="AH8:AH47" si="13">SUM(V8:AG8)</f>
        <v>234000</v>
      </c>
    </row>
    <row r="9" spans="1:34" x14ac:dyDescent="0.35">
      <c r="A9" s="53" t="s">
        <v>375</v>
      </c>
      <c r="B9" s="53" t="s">
        <v>376</v>
      </c>
      <c r="C9" s="53" t="s">
        <v>373</v>
      </c>
      <c r="D9" s="53" t="s">
        <v>377</v>
      </c>
      <c r="E9" s="54">
        <v>46388</v>
      </c>
      <c r="F9" s="54"/>
      <c r="G9" s="55">
        <v>1</v>
      </c>
      <c r="H9" s="56">
        <v>50250</v>
      </c>
      <c r="I9" s="56">
        <v>0</v>
      </c>
      <c r="J9" s="35">
        <f t="shared" si="0"/>
        <v>1</v>
      </c>
      <c r="K9" s="35">
        <f t="shared" si="0"/>
        <v>1</v>
      </c>
      <c r="L9" s="35">
        <f t="shared" si="0"/>
        <v>1</v>
      </c>
      <c r="M9" s="35">
        <f t="shared" si="0"/>
        <v>1</v>
      </c>
      <c r="N9" s="35">
        <f t="shared" si="0"/>
        <v>1</v>
      </c>
      <c r="O9" s="35">
        <f t="shared" si="0"/>
        <v>1</v>
      </c>
      <c r="P9" s="35">
        <f t="shared" si="0"/>
        <v>1</v>
      </c>
      <c r="Q9" s="35">
        <f t="shared" si="0"/>
        <v>1</v>
      </c>
      <c r="R9" s="35">
        <f t="shared" si="0"/>
        <v>1</v>
      </c>
      <c r="S9" s="35">
        <f t="shared" si="0"/>
        <v>1</v>
      </c>
      <c r="T9" s="35">
        <f t="shared" si="0"/>
        <v>1</v>
      </c>
      <c r="U9" s="35">
        <f t="shared" si="0"/>
        <v>1</v>
      </c>
      <c r="V9" s="29">
        <f t="shared" si="1"/>
        <v>16750</v>
      </c>
      <c r="W9" s="29">
        <f t="shared" si="2"/>
        <v>16750</v>
      </c>
      <c r="X9" s="29">
        <f t="shared" si="3"/>
        <v>16750</v>
      </c>
      <c r="Y9" s="29">
        <f t="shared" si="4"/>
        <v>16750</v>
      </c>
      <c r="Z9" s="29">
        <f t="shared" si="5"/>
        <v>16750</v>
      </c>
      <c r="AA9" s="29">
        <f t="shared" si="6"/>
        <v>16750</v>
      </c>
      <c r="AB9" s="29">
        <f t="shared" si="7"/>
        <v>16750</v>
      </c>
      <c r="AC9" s="29">
        <f t="shared" si="8"/>
        <v>16750</v>
      </c>
      <c r="AD9" s="29">
        <f t="shared" si="9"/>
        <v>16750</v>
      </c>
      <c r="AE9" s="29">
        <f t="shared" si="10"/>
        <v>16750</v>
      </c>
      <c r="AF9" s="29">
        <f t="shared" si="11"/>
        <v>16750</v>
      </c>
      <c r="AG9" s="29">
        <f t="shared" si="12"/>
        <v>16750</v>
      </c>
      <c r="AH9" s="24">
        <f t="shared" si="13"/>
        <v>201000</v>
      </c>
    </row>
    <row r="10" spans="1:34" x14ac:dyDescent="0.35">
      <c r="A10" s="53" t="s">
        <v>378</v>
      </c>
      <c r="B10" s="53" t="s">
        <v>379</v>
      </c>
      <c r="C10" s="53" t="s">
        <v>380</v>
      </c>
      <c r="D10" s="53" t="s">
        <v>381</v>
      </c>
      <c r="E10" s="54">
        <v>46478</v>
      </c>
      <c r="F10" s="54"/>
      <c r="G10" s="55">
        <v>1</v>
      </c>
      <c r="H10" s="56">
        <v>16750</v>
      </c>
      <c r="I10" s="56">
        <v>10000</v>
      </c>
      <c r="J10" s="35">
        <f t="shared" si="0"/>
        <v>0</v>
      </c>
      <c r="K10" s="35">
        <f t="shared" si="0"/>
        <v>0</v>
      </c>
      <c r="L10" s="35">
        <f t="shared" si="0"/>
        <v>0</v>
      </c>
      <c r="M10" s="35">
        <f t="shared" si="0"/>
        <v>1</v>
      </c>
      <c r="N10" s="35">
        <f t="shared" si="0"/>
        <v>1</v>
      </c>
      <c r="O10" s="35">
        <f t="shared" si="0"/>
        <v>1</v>
      </c>
      <c r="P10" s="35">
        <f t="shared" si="0"/>
        <v>1</v>
      </c>
      <c r="Q10" s="35">
        <f t="shared" si="0"/>
        <v>1</v>
      </c>
      <c r="R10" s="35">
        <f t="shared" si="0"/>
        <v>1</v>
      </c>
      <c r="S10" s="35">
        <f t="shared" si="0"/>
        <v>1</v>
      </c>
      <c r="T10" s="35">
        <f t="shared" si="0"/>
        <v>1</v>
      </c>
      <c r="U10" s="35">
        <f t="shared" si="0"/>
        <v>1</v>
      </c>
      <c r="V10" s="29">
        <f t="shared" si="1"/>
        <v>0</v>
      </c>
      <c r="W10" s="29">
        <f t="shared" si="2"/>
        <v>0</v>
      </c>
      <c r="X10" s="29">
        <f t="shared" si="3"/>
        <v>0</v>
      </c>
      <c r="Y10" s="29">
        <f t="shared" si="4"/>
        <v>15583.333333333332</v>
      </c>
      <c r="Z10" s="29">
        <f t="shared" si="5"/>
        <v>5583.333333333333</v>
      </c>
      <c r="AA10" s="29">
        <f t="shared" si="6"/>
        <v>5583.333333333333</v>
      </c>
      <c r="AB10" s="29">
        <f t="shared" si="7"/>
        <v>5583.333333333333</v>
      </c>
      <c r="AC10" s="29">
        <f t="shared" si="8"/>
        <v>5583.333333333333</v>
      </c>
      <c r="AD10" s="29">
        <f t="shared" si="9"/>
        <v>5583.333333333333</v>
      </c>
      <c r="AE10" s="29">
        <f t="shared" si="10"/>
        <v>5583.333333333333</v>
      </c>
      <c r="AF10" s="29">
        <f t="shared" si="11"/>
        <v>5583.333333333333</v>
      </c>
      <c r="AG10" s="29">
        <f t="shared" si="12"/>
        <v>5583.333333333333</v>
      </c>
      <c r="AH10" s="24">
        <f t="shared" si="13"/>
        <v>60250.000000000007</v>
      </c>
    </row>
    <row r="11" spans="1:34" x14ac:dyDescent="0.35">
      <c r="A11" s="53" t="s">
        <v>382</v>
      </c>
      <c r="B11" s="53" t="s">
        <v>383</v>
      </c>
      <c r="C11" s="53" t="s">
        <v>380</v>
      </c>
      <c r="D11" s="53" t="s">
        <v>384</v>
      </c>
      <c r="E11" s="54">
        <v>46296</v>
      </c>
      <c r="F11" s="54"/>
      <c r="G11" s="55">
        <v>1</v>
      </c>
      <c r="H11" s="56">
        <v>12730</v>
      </c>
      <c r="I11" s="56">
        <v>0</v>
      </c>
      <c r="J11" s="35">
        <f t="shared" si="0"/>
        <v>1</v>
      </c>
      <c r="K11" s="35">
        <f t="shared" si="0"/>
        <v>1</v>
      </c>
      <c r="L11" s="35">
        <f t="shared" si="0"/>
        <v>1</v>
      </c>
      <c r="M11" s="35">
        <f t="shared" si="0"/>
        <v>1</v>
      </c>
      <c r="N11" s="35">
        <f t="shared" si="0"/>
        <v>1</v>
      </c>
      <c r="O11" s="35">
        <f t="shared" si="0"/>
        <v>1</v>
      </c>
      <c r="P11" s="35">
        <f t="shared" si="0"/>
        <v>1</v>
      </c>
      <c r="Q11" s="35">
        <f t="shared" si="0"/>
        <v>1</v>
      </c>
      <c r="R11" s="35">
        <f t="shared" si="0"/>
        <v>1</v>
      </c>
      <c r="S11" s="35">
        <f t="shared" si="0"/>
        <v>1</v>
      </c>
      <c r="T11" s="35">
        <f t="shared" si="0"/>
        <v>1</v>
      </c>
      <c r="U11" s="35">
        <f t="shared" si="0"/>
        <v>1</v>
      </c>
      <c r="V11" s="29">
        <f t="shared" si="1"/>
        <v>4243.333333333333</v>
      </c>
      <c r="W11" s="29">
        <f t="shared" si="2"/>
        <v>4243.333333333333</v>
      </c>
      <c r="X11" s="29">
        <f t="shared" si="3"/>
        <v>4243.333333333333</v>
      </c>
      <c r="Y11" s="29">
        <f t="shared" si="4"/>
        <v>4243.333333333333</v>
      </c>
      <c r="Z11" s="29">
        <f t="shared" si="5"/>
        <v>4243.333333333333</v>
      </c>
      <c r="AA11" s="29">
        <f t="shared" si="6"/>
        <v>4243.333333333333</v>
      </c>
      <c r="AB11" s="29">
        <f t="shared" si="7"/>
        <v>4243.333333333333</v>
      </c>
      <c r="AC11" s="29">
        <f t="shared" si="8"/>
        <v>4243.333333333333</v>
      </c>
      <c r="AD11" s="29">
        <f t="shared" si="9"/>
        <v>4243.333333333333</v>
      </c>
      <c r="AE11" s="29">
        <f t="shared" si="10"/>
        <v>4243.333333333333</v>
      </c>
      <c r="AF11" s="29">
        <f t="shared" si="11"/>
        <v>4243.333333333333</v>
      </c>
      <c r="AG11" s="29">
        <f t="shared" si="12"/>
        <v>4243.333333333333</v>
      </c>
      <c r="AH11" s="24">
        <f t="shared" si="13"/>
        <v>50920.000000000007</v>
      </c>
    </row>
    <row r="12" spans="1:34" x14ac:dyDescent="0.35">
      <c r="A12" s="53" t="s">
        <v>385</v>
      </c>
      <c r="B12" s="53" t="s">
        <v>386</v>
      </c>
      <c r="C12" s="53" t="s">
        <v>380</v>
      </c>
      <c r="D12" s="53" t="s">
        <v>387</v>
      </c>
      <c r="E12" s="54">
        <v>46478</v>
      </c>
      <c r="F12" s="54"/>
      <c r="G12" s="55">
        <v>1</v>
      </c>
      <c r="H12" s="56">
        <v>8375</v>
      </c>
      <c r="I12" s="56">
        <v>0</v>
      </c>
      <c r="J12" s="35">
        <f t="shared" si="0"/>
        <v>0</v>
      </c>
      <c r="K12" s="35">
        <f t="shared" si="0"/>
        <v>0</v>
      </c>
      <c r="L12" s="35">
        <f t="shared" si="0"/>
        <v>0</v>
      </c>
      <c r="M12" s="35">
        <f t="shared" si="0"/>
        <v>1</v>
      </c>
      <c r="N12" s="35">
        <f t="shared" si="0"/>
        <v>1</v>
      </c>
      <c r="O12" s="35">
        <f t="shared" si="0"/>
        <v>1</v>
      </c>
      <c r="P12" s="35">
        <f t="shared" si="0"/>
        <v>1</v>
      </c>
      <c r="Q12" s="35">
        <f t="shared" si="0"/>
        <v>1</v>
      </c>
      <c r="R12" s="35">
        <f t="shared" si="0"/>
        <v>1</v>
      </c>
      <c r="S12" s="35">
        <f t="shared" si="0"/>
        <v>1</v>
      </c>
      <c r="T12" s="35">
        <f t="shared" si="0"/>
        <v>1</v>
      </c>
      <c r="U12" s="35">
        <f t="shared" si="0"/>
        <v>1</v>
      </c>
      <c r="V12" s="29">
        <f t="shared" si="1"/>
        <v>0</v>
      </c>
      <c r="W12" s="29">
        <f t="shared" si="2"/>
        <v>0</v>
      </c>
      <c r="X12" s="29">
        <f t="shared" si="3"/>
        <v>0</v>
      </c>
      <c r="Y12" s="29">
        <f t="shared" si="4"/>
        <v>2791.6666666666665</v>
      </c>
      <c r="Z12" s="29">
        <f t="shared" si="5"/>
        <v>2791.6666666666665</v>
      </c>
      <c r="AA12" s="29">
        <f t="shared" si="6"/>
        <v>2791.6666666666665</v>
      </c>
      <c r="AB12" s="29">
        <f t="shared" si="7"/>
        <v>2791.6666666666665</v>
      </c>
      <c r="AC12" s="29">
        <f t="shared" si="8"/>
        <v>2791.6666666666665</v>
      </c>
      <c r="AD12" s="29">
        <f t="shared" si="9"/>
        <v>2791.6666666666665</v>
      </c>
      <c r="AE12" s="29">
        <f t="shared" si="10"/>
        <v>2791.6666666666665</v>
      </c>
      <c r="AF12" s="29">
        <f t="shared" si="11"/>
        <v>2791.6666666666665</v>
      </c>
      <c r="AG12" s="29">
        <f t="shared" si="12"/>
        <v>2791.6666666666665</v>
      </c>
      <c r="AH12" s="24">
        <f t="shared" si="13"/>
        <v>25125.000000000004</v>
      </c>
    </row>
    <row r="13" spans="1:34" x14ac:dyDescent="0.35">
      <c r="A13" s="53" t="s">
        <v>388</v>
      </c>
      <c r="B13" s="53" t="s">
        <v>389</v>
      </c>
      <c r="C13" s="53" t="s">
        <v>390</v>
      </c>
      <c r="D13" s="53" t="s">
        <v>391</v>
      </c>
      <c r="E13" s="54">
        <v>46478</v>
      </c>
      <c r="F13" s="54"/>
      <c r="G13" s="55">
        <v>1</v>
      </c>
      <c r="H13" s="56">
        <v>11725</v>
      </c>
      <c r="I13" s="56">
        <v>0</v>
      </c>
      <c r="J13" s="35">
        <f t="shared" si="0"/>
        <v>0</v>
      </c>
      <c r="K13" s="35">
        <f t="shared" si="0"/>
        <v>0</v>
      </c>
      <c r="L13" s="35">
        <f t="shared" si="0"/>
        <v>0</v>
      </c>
      <c r="M13" s="35">
        <f t="shared" si="0"/>
        <v>1</v>
      </c>
      <c r="N13" s="35">
        <f t="shared" si="0"/>
        <v>1</v>
      </c>
      <c r="O13" s="35">
        <f t="shared" si="0"/>
        <v>1</v>
      </c>
      <c r="P13" s="35">
        <f t="shared" si="0"/>
        <v>1</v>
      </c>
      <c r="Q13" s="35">
        <f t="shared" si="0"/>
        <v>1</v>
      </c>
      <c r="R13" s="35">
        <f t="shared" si="0"/>
        <v>1</v>
      </c>
      <c r="S13" s="35">
        <f t="shared" si="0"/>
        <v>1</v>
      </c>
      <c r="T13" s="35">
        <f t="shared" si="0"/>
        <v>1</v>
      </c>
      <c r="U13" s="35">
        <f t="shared" si="0"/>
        <v>1</v>
      </c>
      <c r="V13" s="29">
        <f t="shared" si="1"/>
        <v>0</v>
      </c>
      <c r="W13" s="29">
        <f t="shared" si="2"/>
        <v>0</v>
      </c>
      <c r="X13" s="29">
        <f t="shared" si="3"/>
        <v>0</v>
      </c>
      <c r="Y13" s="29">
        <f t="shared" si="4"/>
        <v>3908.3333333333335</v>
      </c>
      <c r="Z13" s="29">
        <f t="shared" si="5"/>
        <v>3908.3333333333335</v>
      </c>
      <c r="AA13" s="29">
        <f t="shared" si="6"/>
        <v>3908.3333333333335</v>
      </c>
      <c r="AB13" s="29">
        <f t="shared" si="7"/>
        <v>3908.3333333333335</v>
      </c>
      <c r="AC13" s="29">
        <f t="shared" si="8"/>
        <v>3908.3333333333335</v>
      </c>
      <c r="AD13" s="29">
        <f t="shared" si="9"/>
        <v>3908.3333333333335</v>
      </c>
      <c r="AE13" s="29">
        <f t="shared" si="10"/>
        <v>3908.3333333333335</v>
      </c>
      <c r="AF13" s="29">
        <f t="shared" si="11"/>
        <v>3908.3333333333335</v>
      </c>
      <c r="AG13" s="29">
        <f t="shared" si="12"/>
        <v>3908.3333333333335</v>
      </c>
      <c r="AH13" s="24">
        <f t="shared" si="13"/>
        <v>35175</v>
      </c>
    </row>
    <row r="14" spans="1:34" x14ac:dyDescent="0.35">
      <c r="A14" s="53" t="s">
        <v>392</v>
      </c>
      <c r="B14" s="53" t="s">
        <v>393</v>
      </c>
      <c r="C14" s="53" t="s">
        <v>394</v>
      </c>
      <c r="D14" s="53" t="s">
        <v>395</v>
      </c>
      <c r="E14" s="54">
        <v>46296</v>
      </c>
      <c r="F14" s="54"/>
      <c r="G14" s="55">
        <v>1</v>
      </c>
      <c r="H14" s="56">
        <v>16750</v>
      </c>
      <c r="I14" s="56">
        <v>10000</v>
      </c>
      <c r="J14" s="35">
        <f t="shared" si="0"/>
        <v>1</v>
      </c>
      <c r="K14" s="35">
        <f t="shared" si="0"/>
        <v>1</v>
      </c>
      <c r="L14" s="35">
        <f t="shared" si="0"/>
        <v>1</v>
      </c>
      <c r="M14" s="35">
        <f t="shared" si="0"/>
        <v>1</v>
      </c>
      <c r="N14" s="35">
        <f t="shared" si="0"/>
        <v>1</v>
      </c>
      <c r="O14" s="35">
        <f t="shared" si="0"/>
        <v>1</v>
      </c>
      <c r="P14" s="35">
        <f t="shared" si="0"/>
        <v>1</v>
      </c>
      <c r="Q14" s="35">
        <f t="shared" si="0"/>
        <v>1</v>
      </c>
      <c r="R14" s="35">
        <f t="shared" si="0"/>
        <v>1</v>
      </c>
      <c r="S14" s="35">
        <f t="shared" si="0"/>
        <v>1</v>
      </c>
      <c r="T14" s="35">
        <f t="shared" si="0"/>
        <v>1</v>
      </c>
      <c r="U14" s="35">
        <f t="shared" si="0"/>
        <v>1</v>
      </c>
      <c r="V14" s="29">
        <f t="shared" si="1"/>
        <v>5583.333333333333</v>
      </c>
      <c r="W14" s="29">
        <f t="shared" si="2"/>
        <v>5583.333333333333</v>
      </c>
      <c r="X14" s="29">
        <f t="shared" si="3"/>
        <v>5583.333333333333</v>
      </c>
      <c r="Y14" s="29">
        <f t="shared" si="4"/>
        <v>5583.333333333333</v>
      </c>
      <c r="Z14" s="29">
        <f t="shared" si="5"/>
        <v>5583.333333333333</v>
      </c>
      <c r="AA14" s="29">
        <f t="shared" si="6"/>
        <v>5583.333333333333</v>
      </c>
      <c r="AB14" s="29">
        <f t="shared" si="7"/>
        <v>5583.333333333333</v>
      </c>
      <c r="AC14" s="29">
        <f t="shared" si="8"/>
        <v>5583.333333333333</v>
      </c>
      <c r="AD14" s="29">
        <f t="shared" si="9"/>
        <v>5583.333333333333</v>
      </c>
      <c r="AE14" s="29">
        <f t="shared" si="10"/>
        <v>5583.333333333333</v>
      </c>
      <c r="AF14" s="29">
        <f t="shared" si="11"/>
        <v>5583.333333333333</v>
      </c>
      <c r="AG14" s="29">
        <f t="shared" si="12"/>
        <v>5583.333333333333</v>
      </c>
      <c r="AH14" s="24">
        <f t="shared" si="13"/>
        <v>67000.000000000015</v>
      </c>
    </row>
    <row r="15" spans="1:34" x14ac:dyDescent="0.35">
      <c r="A15" s="53" t="s">
        <v>396</v>
      </c>
      <c r="B15" s="53" t="s">
        <v>397</v>
      </c>
      <c r="C15" s="53" t="s">
        <v>394</v>
      </c>
      <c r="D15" s="53" t="s">
        <v>398</v>
      </c>
      <c r="E15" s="54">
        <v>46388</v>
      </c>
      <c r="F15" s="54"/>
      <c r="G15" s="55">
        <v>1</v>
      </c>
      <c r="H15" s="56">
        <v>12060</v>
      </c>
      <c r="I15" s="56">
        <v>0</v>
      </c>
      <c r="J15" s="35">
        <f t="shared" si="0"/>
        <v>1</v>
      </c>
      <c r="K15" s="35">
        <f t="shared" si="0"/>
        <v>1</v>
      </c>
      <c r="L15" s="35">
        <f t="shared" si="0"/>
        <v>1</v>
      </c>
      <c r="M15" s="35">
        <f t="shared" si="0"/>
        <v>1</v>
      </c>
      <c r="N15" s="35">
        <f t="shared" si="0"/>
        <v>1</v>
      </c>
      <c r="O15" s="35">
        <f t="shared" si="0"/>
        <v>1</v>
      </c>
      <c r="P15" s="35">
        <f t="shared" si="0"/>
        <v>1</v>
      </c>
      <c r="Q15" s="35">
        <f t="shared" si="0"/>
        <v>1</v>
      </c>
      <c r="R15" s="35">
        <f t="shared" si="0"/>
        <v>1</v>
      </c>
      <c r="S15" s="35">
        <f t="shared" si="0"/>
        <v>1</v>
      </c>
      <c r="T15" s="35">
        <f t="shared" si="0"/>
        <v>1</v>
      </c>
      <c r="U15" s="35">
        <f t="shared" si="0"/>
        <v>1</v>
      </c>
      <c r="V15" s="29">
        <f t="shared" si="1"/>
        <v>4020</v>
      </c>
      <c r="W15" s="29">
        <f t="shared" si="2"/>
        <v>4020</v>
      </c>
      <c r="X15" s="29">
        <f t="shared" si="3"/>
        <v>4020</v>
      </c>
      <c r="Y15" s="29">
        <f t="shared" si="4"/>
        <v>4020</v>
      </c>
      <c r="Z15" s="29">
        <f t="shared" si="5"/>
        <v>4020</v>
      </c>
      <c r="AA15" s="29">
        <f t="shared" si="6"/>
        <v>4020</v>
      </c>
      <c r="AB15" s="29">
        <f t="shared" si="7"/>
        <v>4020</v>
      </c>
      <c r="AC15" s="29">
        <f t="shared" si="8"/>
        <v>4020</v>
      </c>
      <c r="AD15" s="29">
        <f t="shared" si="9"/>
        <v>4020</v>
      </c>
      <c r="AE15" s="29">
        <f t="shared" si="10"/>
        <v>4020</v>
      </c>
      <c r="AF15" s="29">
        <f t="shared" si="11"/>
        <v>4020</v>
      </c>
      <c r="AG15" s="29">
        <f t="shared" si="12"/>
        <v>4020</v>
      </c>
      <c r="AH15" s="24">
        <f t="shared" si="13"/>
        <v>48240</v>
      </c>
    </row>
    <row r="16" spans="1:34" x14ac:dyDescent="0.35">
      <c r="A16" s="53" t="s">
        <v>399</v>
      </c>
      <c r="B16" s="53" t="s">
        <v>400</v>
      </c>
      <c r="C16" s="53" t="s">
        <v>401</v>
      </c>
      <c r="D16" s="53" t="s">
        <v>402</v>
      </c>
      <c r="E16" s="54">
        <v>46296</v>
      </c>
      <c r="F16" s="54"/>
      <c r="G16" s="55">
        <v>1</v>
      </c>
      <c r="H16" s="56">
        <v>19430</v>
      </c>
      <c r="I16" s="56">
        <v>0</v>
      </c>
      <c r="J16" s="35">
        <f t="shared" si="0"/>
        <v>1</v>
      </c>
      <c r="K16" s="35">
        <f t="shared" si="0"/>
        <v>1</v>
      </c>
      <c r="L16" s="35">
        <f t="shared" si="0"/>
        <v>1</v>
      </c>
      <c r="M16" s="35">
        <f t="shared" si="0"/>
        <v>1</v>
      </c>
      <c r="N16" s="35">
        <f t="shared" si="0"/>
        <v>1</v>
      </c>
      <c r="O16" s="35">
        <f t="shared" si="0"/>
        <v>1</v>
      </c>
      <c r="P16" s="35">
        <f t="shared" si="0"/>
        <v>1</v>
      </c>
      <c r="Q16" s="35">
        <f t="shared" si="0"/>
        <v>1</v>
      </c>
      <c r="R16" s="35">
        <f t="shared" si="0"/>
        <v>1</v>
      </c>
      <c r="S16" s="35">
        <f t="shared" si="0"/>
        <v>1</v>
      </c>
      <c r="T16" s="35">
        <f t="shared" si="0"/>
        <v>1</v>
      </c>
      <c r="U16" s="35">
        <f t="shared" si="0"/>
        <v>1</v>
      </c>
      <c r="V16" s="29">
        <f t="shared" si="1"/>
        <v>6476.666666666667</v>
      </c>
      <c r="W16" s="29">
        <f t="shared" si="2"/>
        <v>6476.666666666667</v>
      </c>
      <c r="X16" s="29">
        <f t="shared" si="3"/>
        <v>6476.666666666667</v>
      </c>
      <c r="Y16" s="29">
        <f t="shared" si="4"/>
        <v>6476.666666666667</v>
      </c>
      <c r="Z16" s="29">
        <f t="shared" si="5"/>
        <v>6476.666666666667</v>
      </c>
      <c r="AA16" s="29">
        <f t="shared" si="6"/>
        <v>6476.666666666667</v>
      </c>
      <c r="AB16" s="29">
        <f t="shared" si="7"/>
        <v>6476.666666666667</v>
      </c>
      <c r="AC16" s="29">
        <f t="shared" si="8"/>
        <v>6476.666666666667</v>
      </c>
      <c r="AD16" s="29">
        <f t="shared" si="9"/>
        <v>6476.666666666667</v>
      </c>
      <c r="AE16" s="29">
        <f t="shared" si="10"/>
        <v>6476.666666666667</v>
      </c>
      <c r="AF16" s="29">
        <f t="shared" si="11"/>
        <v>6476.666666666667</v>
      </c>
      <c r="AG16" s="29">
        <f t="shared" si="12"/>
        <v>6476.666666666667</v>
      </c>
      <c r="AH16" s="24">
        <f t="shared" si="13"/>
        <v>77720</v>
      </c>
    </row>
    <row r="17" spans="1:34" x14ac:dyDescent="0.35">
      <c r="A17" s="53" t="s">
        <v>403</v>
      </c>
      <c r="B17" s="53" t="s">
        <v>404</v>
      </c>
      <c r="C17" s="53" t="s">
        <v>401</v>
      </c>
      <c r="D17" s="53" t="s">
        <v>405</v>
      </c>
      <c r="E17" s="54">
        <v>46478</v>
      </c>
      <c r="F17" s="54"/>
      <c r="G17" s="55">
        <v>1</v>
      </c>
      <c r="H17" s="56">
        <v>16750</v>
      </c>
      <c r="I17" s="56">
        <v>0</v>
      </c>
      <c r="J17" s="35">
        <f t="shared" si="0"/>
        <v>0</v>
      </c>
      <c r="K17" s="35">
        <f t="shared" si="0"/>
        <v>0</v>
      </c>
      <c r="L17" s="35">
        <f t="shared" si="0"/>
        <v>0</v>
      </c>
      <c r="M17" s="35">
        <f t="shared" si="0"/>
        <v>1</v>
      </c>
      <c r="N17" s="35">
        <f t="shared" si="0"/>
        <v>1</v>
      </c>
      <c r="O17" s="35">
        <f t="shared" si="0"/>
        <v>1</v>
      </c>
      <c r="P17" s="35">
        <f t="shared" si="0"/>
        <v>1</v>
      </c>
      <c r="Q17" s="35">
        <f t="shared" si="0"/>
        <v>1</v>
      </c>
      <c r="R17" s="35">
        <f t="shared" si="0"/>
        <v>1</v>
      </c>
      <c r="S17" s="35">
        <f t="shared" si="0"/>
        <v>1</v>
      </c>
      <c r="T17" s="35">
        <f t="shared" si="0"/>
        <v>1</v>
      </c>
      <c r="U17" s="35">
        <f t="shared" si="0"/>
        <v>1</v>
      </c>
      <c r="V17" s="29">
        <f t="shared" si="1"/>
        <v>0</v>
      </c>
      <c r="W17" s="29">
        <f t="shared" si="2"/>
        <v>0</v>
      </c>
      <c r="X17" s="29">
        <f t="shared" si="3"/>
        <v>0</v>
      </c>
      <c r="Y17" s="29">
        <f t="shared" si="4"/>
        <v>5583.333333333333</v>
      </c>
      <c r="Z17" s="29">
        <f t="shared" si="5"/>
        <v>5583.333333333333</v>
      </c>
      <c r="AA17" s="29">
        <f t="shared" si="6"/>
        <v>5583.333333333333</v>
      </c>
      <c r="AB17" s="29">
        <f t="shared" si="7"/>
        <v>5583.333333333333</v>
      </c>
      <c r="AC17" s="29">
        <f t="shared" si="8"/>
        <v>5583.333333333333</v>
      </c>
      <c r="AD17" s="29">
        <f t="shared" si="9"/>
        <v>5583.333333333333</v>
      </c>
      <c r="AE17" s="29">
        <f t="shared" si="10"/>
        <v>5583.333333333333</v>
      </c>
      <c r="AF17" s="29">
        <f t="shared" si="11"/>
        <v>5583.333333333333</v>
      </c>
      <c r="AG17" s="29">
        <f t="shared" si="12"/>
        <v>5583.333333333333</v>
      </c>
      <c r="AH17" s="24">
        <f t="shared" si="13"/>
        <v>50250.000000000007</v>
      </c>
    </row>
    <row r="18" spans="1:34" x14ac:dyDescent="0.35">
      <c r="A18" s="53" t="s">
        <v>406</v>
      </c>
      <c r="B18" s="53" t="s">
        <v>407</v>
      </c>
      <c r="C18" s="53" t="s">
        <v>390</v>
      </c>
      <c r="D18" s="53" t="s">
        <v>408</v>
      </c>
      <c r="E18" s="54">
        <v>46296</v>
      </c>
      <c r="F18" s="54"/>
      <c r="G18" s="55">
        <v>1</v>
      </c>
      <c r="H18" s="56">
        <v>16750</v>
      </c>
      <c r="I18" s="56">
        <v>10000</v>
      </c>
      <c r="J18" s="35">
        <f t="shared" ref="J18:U27" si="14">IF($E18="",0,$G18*MAX(0,MIN(J$5,IF($F18="",J$5,$F18))-MAX(J$4,$E18)+1)/(J$5-J$4+1))</f>
        <v>1</v>
      </c>
      <c r="K18" s="35">
        <f t="shared" si="14"/>
        <v>1</v>
      </c>
      <c r="L18" s="35">
        <f t="shared" si="14"/>
        <v>1</v>
      </c>
      <c r="M18" s="35">
        <f t="shared" si="14"/>
        <v>1</v>
      </c>
      <c r="N18" s="35">
        <f t="shared" si="14"/>
        <v>1</v>
      </c>
      <c r="O18" s="35">
        <f t="shared" si="14"/>
        <v>1</v>
      </c>
      <c r="P18" s="35">
        <f t="shared" si="14"/>
        <v>1</v>
      </c>
      <c r="Q18" s="35">
        <f t="shared" si="14"/>
        <v>1</v>
      </c>
      <c r="R18" s="35">
        <f t="shared" si="14"/>
        <v>1</v>
      </c>
      <c r="S18" s="35">
        <f t="shared" si="14"/>
        <v>1</v>
      </c>
      <c r="T18" s="35">
        <f t="shared" si="14"/>
        <v>1</v>
      </c>
      <c r="U18" s="35">
        <f t="shared" si="14"/>
        <v>1</v>
      </c>
      <c r="V18" s="29">
        <f t="shared" si="1"/>
        <v>5583.333333333333</v>
      </c>
      <c r="W18" s="29">
        <f t="shared" si="2"/>
        <v>5583.333333333333</v>
      </c>
      <c r="X18" s="29">
        <f t="shared" si="3"/>
        <v>5583.333333333333</v>
      </c>
      <c r="Y18" s="29">
        <f t="shared" si="4"/>
        <v>5583.333333333333</v>
      </c>
      <c r="Z18" s="29">
        <f t="shared" si="5"/>
        <v>5583.333333333333</v>
      </c>
      <c r="AA18" s="29">
        <f t="shared" si="6"/>
        <v>5583.333333333333</v>
      </c>
      <c r="AB18" s="29">
        <f t="shared" si="7"/>
        <v>5583.333333333333</v>
      </c>
      <c r="AC18" s="29">
        <f t="shared" si="8"/>
        <v>5583.333333333333</v>
      </c>
      <c r="AD18" s="29">
        <f t="shared" si="9"/>
        <v>5583.333333333333</v>
      </c>
      <c r="AE18" s="29">
        <f t="shared" si="10"/>
        <v>5583.333333333333</v>
      </c>
      <c r="AF18" s="29">
        <f t="shared" si="11"/>
        <v>5583.333333333333</v>
      </c>
      <c r="AG18" s="29">
        <f t="shared" si="12"/>
        <v>5583.333333333333</v>
      </c>
      <c r="AH18" s="24">
        <f t="shared" si="13"/>
        <v>67000.000000000015</v>
      </c>
    </row>
    <row r="19" spans="1:34" x14ac:dyDescent="0.35">
      <c r="A19" s="53" t="s">
        <v>409</v>
      </c>
      <c r="B19" s="53" t="s">
        <v>410</v>
      </c>
      <c r="C19" s="53" t="s">
        <v>390</v>
      </c>
      <c r="D19" s="53" t="s">
        <v>411</v>
      </c>
      <c r="E19" s="54">
        <v>46478</v>
      </c>
      <c r="F19" s="54"/>
      <c r="G19" s="55">
        <v>1</v>
      </c>
      <c r="H19" s="56">
        <v>10385</v>
      </c>
      <c r="I19" s="56">
        <v>0</v>
      </c>
      <c r="J19" s="35">
        <f t="shared" si="14"/>
        <v>0</v>
      </c>
      <c r="K19" s="35">
        <f t="shared" si="14"/>
        <v>0</v>
      </c>
      <c r="L19" s="35">
        <f t="shared" si="14"/>
        <v>0</v>
      </c>
      <c r="M19" s="35">
        <f t="shared" si="14"/>
        <v>1</v>
      </c>
      <c r="N19" s="35">
        <f t="shared" si="14"/>
        <v>1</v>
      </c>
      <c r="O19" s="35">
        <f t="shared" si="14"/>
        <v>1</v>
      </c>
      <c r="P19" s="35">
        <f t="shared" si="14"/>
        <v>1</v>
      </c>
      <c r="Q19" s="35">
        <f t="shared" si="14"/>
        <v>1</v>
      </c>
      <c r="R19" s="35">
        <f t="shared" si="14"/>
        <v>1</v>
      </c>
      <c r="S19" s="35">
        <f t="shared" si="14"/>
        <v>1</v>
      </c>
      <c r="T19" s="35">
        <f t="shared" si="14"/>
        <v>1</v>
      </c>
      <c r="U19" s="35">
        <f t="shared" si="14"/>
        <v>1</v>
      </c>
      <c r="V19" s="29">
        <f t="shared" si="1"/>
        <v>0</v>
      </c>
      <c r="W19" s="29">
        <f t="shared" si="2"/>
        <v>0</v>
      </c>
      <c r="X19" s="29">
        <f t="shared" si="3"/>
        <v>0</v>
      </c>
      <c r="Y19" s="29">
        <f t="shared" si="4"/>
        <v>3461.6666666666665</v>
      </c>
      <c r="Z19" s="29">
        <f t="shared" si="5"/>
        <v>3461.6666666666665</v>
      </c>
      <c r="AA19" s="29">
        <f t="shared" si="6"/>
        <v>3461.6666666666665</v>
      </c>
      <c r="AB19" s="29">
        <f t="shared" si="7"/>
        <v>3461.6666666666665</v>
      </c>
      <c r="AC19" s="29">
        <f t="shared" si="8"/>
        <v>3461.6666666666665</v>
      </c>
      <c r="AD19" s="29">
        <f t="shared" si="9"/>
        <v>3461.6666666666665</v>
      </c>
      <c r="AE19" s="29">
        <f t="shared" si="10"/>
        <v>3461.6666666666665</v>
      </c>
      <c r="AF19" s="29">
        <f t="shared" si="11"/>
        <v>3461.6666666666665</v>
      </c>
      <c r="AG19" s="29">
        <f t="shared" si="12"/>
        <v>3461.6666666666665</v>
      </c>
      <c r="AH19" s="24">
        <f t="shared" si="13"/>
        <v>31155.000000000004</v>
      </c>
    </row>
    <row r="20" spans="1:34" x14ac:dyDescent="0.35">
      <c r="A20" s="53" t="s">
        <v>412</v>
      </c>
      <c r="B20" s="53" t="s">
        <v>413</v>
      </c>
      <c r="C20" s="53" t="s">
        <v>373</v>
      </c>
      <c r="D20" s="53" t="s">
        <v>381</v>
      </c>
      <c r="E20" s="54">
        <v>46388</v>
      </c>
      <c r="F20" s="54"/>
      <c r="G20" s="55">
        <v>1</v>
      </c>
      <c r="H20" s="56">
        <v>18425</v>
      </c>
      <c r="I20" s="56">
        <v>11000</v>
      </c>
      <c r="J20" s="35">
        <f t="shared" si="14"/>
        <v>1</v>
      </c>
      <c r="K20" s="35">
        <f t="shared" si="14"/>
        <v>1</v>
      </c>
      <c r="L20" s="35">
        <f t="shared" si="14"/>
        <v>1</v>
      </c>
      <c r="M20" s="35">
        <f t="shared" si="14"/>
        <v>1</v>
      </c>
      <c r="N20" s="35">
        <f t="shared" si="14"/>
        <v>1</v>
      </c>
      <c r="O20" s="35">
        <f t="shared" si="14"/>
        <v>1</v>
      </c>
      <c r="P20" s="35">
        <f t="shared" si="14"/>
        <v>1</v>
      </c>
      <c r="Q20" s="35">
        <f t="shared" si="14"/>
        <v>1</v>
      </c>
      <c r="R20" s="35">
        <f t="shared" si="14"/>
        <v>1</v>
      </c>
      <c r="S20" s="35">
        <f t="shared" si="14"/>
        <v>1</v>
      </c>
      <c r="T20" s="35">
        <f t="shared" si="14"/>
        <v>1</v>
      </c>
      <c r="U20" s="35">
        <f t="shared" si="14"/>
        <v>1</v>
      </c>
      <c r="V20" s="29">
        <f t="shared" si="1"/>
        <v>17141.666666666668</v>
      </c>
      <c r="W20" s="29">
        <f t="shared" si="2"/>
        <v>6141.666666666667</v>
      </c>
      <c r="X20" s="29">
        <f t="shared" si="3"/>
        <v>6141.666666666667</v>
      </c>
      <c r="Y20" s="29">
        <f t="shared" si="4"/>
        <v>6141.666666666667</v>
      </c>
      <c r="Z20" s="29">
        <f t="shared" si="5"/>
        <v>6141.666666666667</v>
      </c>
      <c r="AA20" s="29">
        <f t="shared" si="6"/>
        <v>6141.666666666667</v>
      </c>
      <c r="AB20" s="29">
        <f t="shared" si="7"/>
        <v>6141.666666666667</v>
      </c>
      <c r="AC20" s="29">
        <f t="shared" si="8"/>
        <v>6141.666666666667</v>
      </c>
      <c r="AD20" s="29">
        <f t="shared" si="9"/>
        <v>6141.666666666667</v>
      </c>
      <c r="AE20" s="29">
        <f t="shared" si="10"/>
        <v>6141.666666666667</v>
      </c>
      <c r="AF20" s="29">
        <f t="shared" si="11"/>
        <v>6141.666666666667</v>
      </c>
      <c r="AG20" s="29">
        <f t="shared" si="12"/>
        <v>6141.666666666667</v>
      </c>
      <c r="AH20" s="24">
        <f t="shared" si="13"/>
        <v>84700.000000000015</v>
      </c>
    </row>
    <row r="21" spans="1:34" x14ac:dyDescent="0.35">
      <c r="A21" s="57"/>
      <c r="B21" s="57"/>
      <c r="C21" s="57"/>
      <c r="D21" s="57"/>
      <c r="E21" s="58"/>
      <c r="F21" s="58"/>
      <c r="G21" s="59"/>
      <c r="H21" s="60"/>
      <c r="I21" s="60"/>
      <c r="J21" s="35">
        <f t="shared" si="14"/>
        <v>0</v>
      </c>
      <c r="K21" s="35">
        <f t="shared" si="14"/>
        <v>0</v>
      </c>
      <c r="L21" s="35">
        <f t="shared" si="14"/>
        <v>0</v>
      </c>
      <c r="M21" s="35">
        <f t="shared" si="14"/>
        <v>0</v>
      </c>
      <c r="N21" s="35">
        <f t="shared" si="14"/>
        <v>0</v>
      </c>
      <c r="O21" s="35">
        <f t="shared" si="14"/>
        <v>0</v>
      </c>
      <c r="P21" s="35">
        <f t="shared" si="14"/>
        <v>0</v>
      </c>
      <c r="Q21" s="35">
        <f t="shared" si="14"/>
        <v>0</v>
      </c>
      <c r="R21" s="35">
        <f t="shared" si="14"/>
        <v>0</v>
      </c>
      <c r="S21" s="35">
        <f t="shared" si="14"/>
        <v>0</v>
      </c>
      <c r="T21" s="35">
        <f t="shared" si="14"/>
        <v>0</v>
      </c>
      <c r="U21" s="35">
        <f t="shared" si="14"/>
        <v>0</v>
      </c>
      <c r="V21" s="29">
        <f t="shared" si="1"/>
        <v>0</v>
      </c>
      <c r="W21" s="29">
        <f t="shared" si="2"/>
        <v>0</v>
      </c>
      <c r="X21" s="29">
        <f t="shared" si="3"/>
        <v>0</v>
      </c>
      <c r="Y21" s="29">
        <f t="shared" si="4"/>
        <v>0</v>
      </c>
      <c r="Z21" s="29">
        <f t="shared" si="5"/>
        <v>0</v>
      </c>
      <c r="AA21" s="29">
        <f t="shared" si="6"/>
        <v>0</v>
      </c>
      <c r="AB21" s="29">
        <f t="shared" si="7"/>
        <v>0</v>
      </c>
      <c r="AC21" s="29">
        <f t="shared" si="8"/>
        <v>0</v>
      </c>
      <c r="AD21" s="29">
        <f t="shared" si="9"/>
        <v>0</v>
      </c>
      <c r="AE21" s="29">
        <f t="shared" si="10"/>
        <v>0</v>
      </c>
      <c r="AF21" s="29">
        <f t="shared" si="11"/>
        <v>0</v>
      </c>
      <c r="AG21" s="29">
        <f t="shared" si="12"/>
        <v>0</v>
      </c>
      <c r="AH21" s="24">
        <f t="shared" si="13"/>
        <v>0</v>
      </c>
    </row>
    <row r="22" spans="1:34" x14ac:dyDescent="0.35">
      <c r="A22" s="57"/>
      <c r="B22" s="57"/>
      <c r="C22" s="57"/>
      <c r="D22" s="57"/>
      <c r="E22" s="58"/>
      <c r="F22" s="58"/>
      <c r="G22" s="59"/>
      <c r="H22" s="60"/>
      <c r="I22" s="60"/>
      <c r="J22" s="35">
        <f t="shared" si="14"/>
        <v>0</v>
      </c>
      <c r="K22" s="35">
        <f t="shared" si="14"/>
        <v>0</v>
      </c>
      <c r="L22" s="35">
        <f t="shared" si="14"/>
        <v>0</v>
      </c>
      <c r="M22" s="35">
        <f t="shared" si="14"/>
        <v>0</v>
      </c>
      <c r="N22" s="35">
        <f t="shared" si="14"/>
        <v>0</v>
      </c>
      <c r="O22" s="35">
        <f t="shared" si="14"/>
        <v>0</v>
      </c>
      <c r="P22" s="35">
        <f t="shared" si="14"/>
        <v>0</v>
      </c>
      <c r="Q22" s="35">
        <f t="shared" si="14"/>
        <v>0</v>
      </c>
      <c r="R22" s="35">
        <f t="shared" si="14"/>
        <v>0</v>
      </c>
      <c r="S22" s="35">
        <f t="shared" si="14"/>
        <v>0</v>
      </c>
      <c r="T22" s="35">
        <f t="shared" si="14"/>
        <v>0</v>
      </c>
      <c r="U22" s="35">
        <f t="shared" si="14"/>
        <v>0</v>
      </c>
      <c r="V22" s="29">
        <f t="shared" si="1"/>
        <v>0</v>
      </c>
      <c r="W22" s="29">
        <f t="shared" si="2"/>
        <v>0</v>
      </c>
      <c r="X22" s="29">
        <f t="shared" si="3"/>
        <v>0</v>
      </c>
      <c r="Y22" s="29">
        <f t="shared" si="4"/>
        <v>0</v>
      </c>
      <c r="Z22" s="29">
        <f t="shared" si="5"/>
        <v>0</v>
      </c>
      <c r="AA22" s="29">
        <f t="shared" si="6"/>
        <v>0</v>
      </c>
      <c r="AB22" s="29">
        <f t="shared" si="7"/>
        <v>0</v>
      </c>
      <c r="AC22" s="29">
        <f t="shared" si="8"/>
        <v>0</v>
      </c>
      <c r="AD22" s="29">
        <f t="shared" si="9"/>
        <v>0</v>
      </c>
      <c r="AE22" s="29">
        <f t="shared" si="10"/>
        <v>0</v>
      </c>
      <c r="AF22" s="29">
        <f t="shared" si="11"/>
        <v>0</v>
      </c>
      <c r="AG22" s="29">
        <f t="shared" si="12"/>
        <v>0</v>
      </c>
      <c r="AH22" s="24">
        <f t="shared" si="13"/>
        <v>0</v>
      </c>
    </row>
    <row r="23" spans="1:34" x14ac:dyDescent="0.35">
      <c r="A23" s="57"/>
      <c r="B23" s="57"/>
      <c r="C23" s="57"/>
      <c r="D23" s="57"/>
      <c r="E23" s="58"/>
      <c r="F23" s="58"/>
      <c r="G23" s="59"/>
      <c r="H23" s="60"/>
      <c r="I23" s="60"/>
      <c r="J23" s="35">
        <f t="shared" si="14"/>
        <v>0</v>
      </c>
      <c r="K23" s="35">
        <f t="shared" si="14"/>
        <v>0</v>
      </c>
      <c r="L23" s="35">
        <f t="shared" si="14"/>
        <v>0</v>
      </c>
      <c r="M23" s="35">
        <f t="shared" si="14"/>
        <v>0</v>
      </c>
      <c r="N23" s="35">
        <f t="shared" si="14"/>
        <v>0</v>
      </c>
      <c r="O23" s="35">
        <f t="shared" si="14"/>
        <v>0</v>
      </c>
      <c r="P23" s="35">
        <f t="shared" si="14"/>
        <v>0</v>
      </c>
      <c r="Q23" s="35">
        <f t="shared" si="14"/>
        <v>0</v>
      </c>
      <c r="R23" s="35">
        <f t="shared" si="14"/>
        <v>0</v>
      </c>
      <c r="S23" s="35">
        <f t="shared" si="14"/>
        <v>0</v>
      </c>
      <c r="T23" s="35">
        <f t="shared" si="14"/>
        <v>0</v>
      </c>
      <c r="U23" s="35">
        <f t="shared" si="14"/>
        <v>0</v>
      </c>
      <c r="V23" s="29">
        <f t="shared" si="1"/>
        <v>0</v>
      </c>
      <c r="W23" s="29">
        <f t="shared" si="2"/>
        <v>0</v>
      </c>
      <c r="X23" s="29">
        <f t="shared" si="3"/>
        <v>0</v>
      </c>
      <c r="Y23" s="29">
        <f t="shared" si="4"/>
        <v>0</v>
      </c>
      <c r="Z23" s="29">
        <f t="shared" si="5"/>
        <v>0</v>
      </c>
      <c r="AA23" s="29">
        <f t="shared" si="6"/>
        <v>0</v>
      </c>
      <c r="AB23" s="29">
        <f t="shared" si="7"/>
        <v>0</v>
      </c>
      <c r="AC23" s="29">
        <f t="shared" si="8"/>
        <v>0</v>
      </c>
      <c r="AD23" s="29">
        <f t="shared" si="9"/>
        <v>0</v>
      </c>
      <c r="AE23" s="29">
        <f t="shared" si="10"/>
        <v>0</v>
      </c>
      <c r="AF23" s="29">
        <f t="shared" si="11"/>
        <v>0</v>
      </c>
      <c r="AG23" s="29">
        <f t="shared" si="12"/>
        <v>0</v>
      </c>
      <c r="AH23" s="24">
        <f t="shared" si="13"/>
        <v>0</v>
      </c>
    </row>
    <row r="24" spans="1:34" x14ac:dyDescent="0.35">
      <c r="A24" s="57"/>
      <c r="B24" s="57"/>
      <c r="C24" s="57"/>
      <c r="D24" s="57"/>
      <c r="E24" s="58"/>
      <c r="F24" s="58"/>
      <c r="G24" s="59"/>
      <c r="H24" s="60"/>
      <c r="I24" s="60"/>
      <c r="J24" s="35">
        <f t="shared" si="14"/>
        <v>0</v>
      </c>
      <c r="K24" s="35">
        <f t="shared" si="14"/>
        <v>0</v>
      </c>
      <c r="L24" s="35">
        <f t="shared" si="14"/>
        <v>0</v>
      </c>
      <c r="M24" s="35">
        <f t="shared" si="14"/>
        <v>0</v>
      </c>
      <c r="N24" s="35">
        <f t="shared" si="14"/>
        <v>0</v>
      </c>
      <c r="O24" s="35">
        <f t="shared" si="14"/>
        <v>0</v>
      </c>
      <c r="P24" s="35">
        <f t="shared" si="14"/>
        <v>0</v>
      </c>
      <c r="Q24" s="35">
        <f t="shared" si="14"/>
        <v>0</v>
      </c>
      <c r="R24" s="35">
        <f t="shared" si="14"/>
        <v>0</v>
      </c>
      <c r="S24" s="35">
        <f t="shared" si="14"/>
        <v>0</v>
      </c>
      <c r="T24" s="35">
        <f t="shared" si="14"/>
        <v>0</v>
      </c>
      <c r="U24" s="35">
        <f t="shared" si="14"/>
        <v>0</v>
      </c>
      <c r="V24" s="29">
        <f t="shared" si="1"/>
        <v>0</v>
      </c>
      <c r="W24" s="29">
        <f t="shared" si="2"/>
        <v>0</v>
      </c>
      <c r="X24" s="29">
        <f t="shared" si="3"/>
        <v>0</v>
      </c>
      <c r="Y24" s="29">
        <f t="shared" si="4"/>
        <v>0</v>
      </c>
      <c r="Z24" s="29">
        <f t="shared" si="5"/>
        <v>0</v>
      </c>
      <c r="AA24" s="29">
        <f t="shared" si="6"/>
        <v>0</v>
      </c>
      <c r="AB24" s="29">
        <f t="shared" si="7"/>
        <v>0</v>
      </c>
      <c r="AC24" s="29">
        <f t="shared" si="8"/>
        <v>0</v>
      </c>
      <c r="AD24" s="29">
        <f t="shared" si="9"/>
        <v>0</v>
      </c>
      <c r="AE24" s="29">
        <f t="shared" si="10"/>
        <v>0</v>
      </c>
      <c r="AF24" s="29">
        <f t="shared" si="11"/>
        <v>0</v>
      </c>
      <c r="AG24" s="29">
        <f t="shared" si="12"/>
        <v>0</v>
      </c>
      <c r="AH24" s="24">
        <f t="shared" si="13"/>
        <v>0</v>
      </c>
    </row>
    <row r="25" spans="1:34" x14ac:dyDescent="0.35">
      <c r="A25" s="57"/>
      <c r="B25" s="57"/>
      <c r="C25" s="57"/>
      <c r="D25" s="57"/>
      <c r="E25" s="58"/>
      <c r="F25" s="58"/>
      <c r="G25" s="59"/>
      <c r="H25" s="60"/>
      <c r="I25" s="60"/>
      <c r="J25" s="35">
        <f t="shared" si="14"/>
        <v>0</v>
      </c>
      <c r="K25" s="35">
        <f t="shared" si="14"/>
        <v>0</v>
      </c>
      <c r="L25" s="35">
        <f t="shared" si="14"/>
        <v>0</v>
      </c>
      <c r="M25" s="35">
        <f t="shared" si="14"/>
        <v>0</v>
      </c>
      <c r="N25" s="35">
        <f t="shared" si="14"/>
        <v>0</v>
      </c>
      <c r="O25" s="35">
        <f t="shared" si="14"/>
        <v>0</v>
      </c>
      <c r="P25" s="35">
        <f t="shared" si="14"/>
        <v>0</v>
      </c>
      <c r="Q25" s="35">
        <f t="shared" si="14"/>
        <v>0</v>
      </c>
      <c r="R25" s="35">
        <f t="shared" si="14"/>
        <v>0</v>
      </c>
      <c r="S25" s="35">
        <f t="shared" si="14"/>
        <v>0</v>
      </c>
      <c r="T25" s="35">
        <f t="shared" si="14"/>
        <v>0</v>
      </c>
      <c r="U25" s="35">
        <f t="shared" si="14"/>
        <v>0</v>
      </c>
      <c r="V25" s="29">
        <f t="shared" si="1"/>
        <v>0</v>
      </c>
      <c r="W25" s="29">
        <f t="shared" si="2"/>
        <v>0</v>
      </c>
      <c r="X25" s="29">
        <f t="shared" si="3"/>
        <v>0</v>
      </c>
      <c r="Y25" s="29">
        <f t="shared" si="4"/>
        <v>0</v>
      </c>
      <c r="Z25" s="29">
        <f t="shared" si="5"/>
        <v>0</v>
      </c>
      <c r="AA25" s="29">
        <f t="shared" si="6"/>
        <v>0</v>
      </c>
      <c r="AB25" s="29">
        <f t="shared" si="7"/>
        <v>0</v>
      </c>
      <c r="AC25" s="29">
        <f t="shared" si="8"/>
        <v>0</v>
      </c>
      <c r="AD25" s="29">
        <f t="shared" si="9"/>
        <v>0</v>
      </c>
      <c r="AE25" s="29">
        <f t="shared" si="10"/>
        <v>0</v>
      </c>
      <c r="AF25" s="29">
        <f t="shared" si="11"/>
        <v>0</v>
      </c>
      <c r="AG25" s="29">
        <f t="shared" si="12"/>
        <v>0</v>
      </c>
      <c r="AH25" s="24">
        <f t="shared" si="13"/>
        <v>0</v>
      </c>
    </row>
    <row r="26" spans="1:34" x14ac:dyDescent="0.35">
      <c r="A26" s="57"/>
      <c r="B26" s="57"/>
      <c r="C26" s="57"/>
      <c r="D26" s="57"/>
      <c r="E26" s="58"/>
      <c r="F26" s="58"/>
      <c r="G26" s="59"/>
      <c r="H26" s="60"/>
      <c r="I26" s="60"/>
      <c r="J26" s="35">
        <f t="shared" si="14"/>
        <v>0</v>
      </c>
      <c r="K26" s="35">
        <f t="shared" si="14"/>
        <v>0</v>
      </c>
      <c r="L26" s="35">
        <f t="shared" si="14"/>
        <v>0</v>
      </c>
      <c r="M26" s="35">
        <f t="shared" si="14"/>
        <v>0</v>
      </c>
      <c r="N26" s="35">
        <f t="shared" si="14"/>
        <v>0</v>
      </c>
      <c r="O26" s="35">
        <f t="shared" si="14"/>
        <v>0</v>
      </c>
      <c r="P26" s="35">
        <f t="shared" si="14"/>
        <v>0</v>
      </c>
      <c r="Q26" s="35">
        <f t="shared" si="14"/>
        <v>0</v>
      </c>
      <c r="R26" s="35">
        <f t="shared" si="14"/>
        <v>0</v>
      </c>
      <c r="S26" s="35">
        <f t="shared" si="14"/>
        <v>0</v>
      </c>
      <c r="T26" s="35">
        <f t="shared" si="14"/>
        <v>0</v>
      </c>
      <c r="U26" s="35">
        <f t="shared" si="14"/>
        <v>0</v>
      </c>
      <c r="V26" s="29">
        <f t="shared" si="1"/>
        <v>0</v>
      </c>
      <c r="W26" s="29">
        <f t="shared" si="2"/>
        <v>0</v>
      </c>
      <c r="X26" s="29">
        <f t="shared" si="3"/>
        <v>0</v>
      </c>
      <c r="Y26" s="29">
        <f t="shared" si="4"/>
        <v>0</v>
      </c>
      <c r="Z26" s="29">
        <f t="shared" si="5"/>
        <v>0</v>
      </c>
      <c r="AA26" s="29">
        <f t="shared" si="6"/>
        <v>0</v>
      </c>
      <c r="AB26" s="29">
        <f t="shared" si="7"/>
        <v>0</v>
      </c>
      <c r="AC26" s="29">
        <f t="shared" si="8"/>
        <v>0</v>
      </c>
      <c r="AD26" s="29">
        <f t="shared" si="9"/>
        <v>0</v>
      </c>
      <c r="AE26" s="29">
        <f t="shared" si="10"/>
        <v>0</v>
      </c>
      <c r="AF26" s="29">
        <f t="shared" si="11"/>
        <v>0</v>
      </c>
      <c r="AG26" s="29">
        <f t="shared" si="12"/>
        <v>0</v>
      </c>
      <c r="AH26" s="24">
        <f t="shared" si="13"/>
        <v>0</v>
      </c>
    </row>
    <row r="27" spans="1:34" x14ac:dyDescent="0.35">
      <c r="A27" s="57"/>
      <c r="B27" s="57"/>
      <c r="C27" s="57"/>
      <c r="D27" s="57"/>
      <c r="E27" s="58"/>
      <c r="F27" s="58"/>
      <c r="G27" s="59"/>
      <c r="H27" s="60"/>
      <c r="I27" s="60"/>
      <c r="J27" s="35">
        <f t="shared" si="14"/>
        <v>0</v>
      </c>
      <c r="K27" s="35">
        <f t="shared" si="14"/>
        <v>0</v>
      </c>
      <c r="L27" s="35">
        <f t="shared" si="14"/>
        <v>0</v>
      </c>
      <c r="M27" s="35">
        <f t="shared" si="14"/>
        <v>0</v>
      </c>
      <c r="N27" s="35">
        <f t="shared" si="14"/>
        <v>0</v>
      </c>
      <c r="O27" s="35">
        <f t="shared" si="14"/>
        <v>0</v>
      </c>
      <c r="P27" s="35">
        <f t="shared" si="14"/>
        <v>0</v>
      </c>
      <c r="Q27" s="35">
        <f t="shared" si="14"/>
        <v>0</v>
      </c>
      <c r="R27" s="35">
        <f t="shared" si="14"/>
        <v>0</v>
      </c>
      <c r="S27" s="35">
        <f t="shared" si="14"/>
        <v>0</v>
      </c>
      <c r="T27" s="35">
        <f t="shared" si="14"/>
        <v>0</v>
      </c>
      <c r="U27" s="35">
        <f t="shared" si="14"/>
        <v>0</v>
      </c>
      <c r="V27" s="29">
        <f t="shared" si="1"/>
        <v>0</v>
      </c>
      <c r="W27" s="29">
        <f t="shared" si="2"/>
        <v>0</v>
      </c>
      <c r="X27" s="29">
        <f t="shared" si="3"/>
        <v>0</v>
      </c>
      <c r="Y27" s="29">
        <f t="shared" si="4"/>
        <v>0</v>
      </c>
      <c r="Z27" s="29">
        <f t="shared" si="5"/>
        <v>0</v>
      </c>
      <c r="AA27" s="29">
        <f t="shared" si="6"/>
        <v>0</v>
      </c>
      <c r="AB27" s="29">
        <f t="shared" si="7"/>
        <v>0</v>
      </c>
      <c r="AC27" s="29">
        <f t="shared" si="8"/>
        <v>0</v>
      </c>
      <c r="AD27" s="29">
        <f t="shared" si="9"/>
        <v>0</v>
      </c>
      <c r="AE27" s="29">
        <f t="shared" si="10"/>
        <v>0</v>
      </c>
      <c r="AF27" s="29">
        <f t="shared" si="11"/>
        <v>0</v>
      </c>
      <c r="AG27" s="29">
        <f t="shared" si="12"/>
        <v>0</v>
      </c>
      <c r="AH27" s="24">
        <f t="shared" si="13"/>
        <v>0</v>
      </c>
    </row>
    <row r="28" spans="1:34" x14ac:dyDescent="0.35">
      <c r="A28" s="57"/>
      <c r="B28" s="57"/>
      <c r="C28" s="57"/>
      <c r="D28" s="57"/>
      <c r="E28" s="58"/>
      <c r="F28" s="58"/>
      <c r="G28" s="59"/>
      <c r="H28" s="60"/>
      <c r="I28" s="60"/>
      <c r="J28" s="35">
        <f t="shared" ref="J28:U37" si="15">IF($E28="",0,$G28*MAX(0,MIN(J$5,IF($F28="",J$5,$F28))-MAX(J$4,$E28)+1)/(J$5-J$4+1))</f>
        <v>0</v>
      </c>
      <c r="K28" s="35">
        <f t="shared" si="15"/>
        <v>0</v>
      </c>
      <c r="L28" s="35">
        <f t="shared" si="15"/>
        <v>0</v>
      </c>
      <c r="M28" s="35">
        <f t="shared" si="15"/>
        <v>0</v>
      </c>
      <c r="N28" s="35">
        <f t="shared" si="15"/>
        <v>0</v>
      </c>
      <c r="O28" s="35">
        <f t="shared" si="15"/>
        <v>0</v>
      </c>
      <c r="P28" s="35">
        <f t="shared" si="15"/>
        <v>0</v>
      </c>
      <c r="Q28" s="35">
        <f t="shared" si="15"/>
        <v>0</v>
      </c>
      <c r="R28" s="35">
        <f t="shared" si="15"/>
        <v>0</v>
      </c>
      <c r="S28" s="35">
        <f t="shared" si="15"/>
        <v>0</v>
      </c>
      <c r="T28" s="35">
        <f t="shared" si="15"/>
        <v>0</v>
      </c>
      <c r="U28" s="35">
        <f t="shared" si="15"/>
        <v>0</v>
      </c>
      <c r="V28" s="29">
        <f t="shared" si="1"/>
        <v>0</v>
      </c>
      <c r="W28" s="29">
        <f t="shared" si="2"/>
        <v>0</v>
      </c>
      <c r="X28" s="29">
        <f t="shared" si="3"/>
        <v>0</v>
      </c>
      <c r="Y28" s="29">
        <f t="shared" si="4"/>
        <v>0</v>
      </c>
      <c r="Z28" s="29">
        <f t="shared" si="5"/>
        <v>0</v>
      </c>
      <c r="AA28" s="29">
        <f t="shared" si="6"/>
        <v>0</v>
      </c>
      <c r="AB28" s="29">
        <f t="shared" si="7"/>
        <v>0</v>
      </c>
      <c r="AC28" s="29">
        <f t="shared" si="8"/>
        <v>0</v>
      </c>
      <c r="AD28" s="29">
        <f t="shared" si="9"/>
        <v>0</v>
      </c>
      <c r="AE28" s="29">
        <f t="shared" si="10"/>
        <v>0</v>
      </c>
      <c r="AF28" s="29">
        <f t="shared" si="11"/>
        <v>0</v>
      </c>
      <c r="AG28" s="29">
        <f t="shared" si="12"/>
        <v>0</v>
      </c>
      <c r="AH28" s="24">
        <f t="shared" si="13"/>
        <v>0</v>
      </c>
    </row>
    <row r="29" spans="1:34" x14ac:dyDescent="0.35">
      <c r="A29" s="57"/>
      <c r="B29" s="57"/>
      <c r="C29" s="57"/>
      <c r="D29" s="57"/>
      <c r="E29" s="58"/>
      <c r="F29" s="58"/>
      <c r="G29" s="59"/>
      <c r="H29" s="60"/>
      <c r="I29" s="60"/>
      <c r="J29" s="35">
        <f t="shared" si="15"/>
        <v>0</v>
      </c>
      <c r="K29" s="35">
        <f t="shared" si="15"/>
        <v>0</v>
      </c>
      <c r="L29" s="35">
        <f t="shared" si="15"/>
        <v>0</v>
      </c>
      <c r="M29" s="35">
        <f t="shared" si="15"/>
        <v>0</v>
      </c>
      <c r="N29" s="35">
        <f t="shared" si="15"/>
        <v>0</v>
      </c>
      <c r="O29" s="35">
        <f t="shared" si="15"/>
        <v>0</v>
      </c>
      <c r="P29" s="35">
        <f t="shared" si="15"/>
        <v>0</v>
      </c>
      <c r="Q29" s="35">
        <f t="shared" si="15"/>
        <v>0</v>
      </c>
      <c r="R29" s="35">
        <f t="shared" si="15"/>
        <v>0</v>
      </c>
      <c r="S29" s="35">
        <f t="shared" si="15"/>
        <v>0</v>
      </c>
      <c r="T29" s="35">
        <f t="shared" si="15"/>
        <v>0</v>
      </c>
      <c r="U29" s="35">
        <f t="shared" si="15"/>
        <v>0</v>
      </c>
      <c r="V29" s="29">
        <f t="shared" si="1"/>
        <v>0</v>
      </c>
      <c r="W29" s="29">
        <f t="shared" si="2"/>
        <v>0</v>
      </c>
      <c r="X29" s="29">
        <f t="shared" si="3"/>
        <v>0</v>
      </c>
      <c r="Y29" s="29">
        <f t="shared" si="4"/>
        <v>0</v>
      </c>
      <c r="Z29" s="29">
        <f t="shared" si="5"/>
        <v>0</v>
      </c>
      <c r="AA29" s="29">
        <f t="shared" si="6"/>
        <v>0</v>
      </c>
      <c r="AB29" s="29">
        <f t="shared" si="7"/>
        <v>0</v>
      </c>
      <c r="AC29" s="29">
        <f t="shared" si="8"/>
        <v>0</v>
      </c>
      <c r="AD29" s="29">
        <f t="shared" si="9"/>
        <v>0</v>
      </c>
      <c r="AE29" s="29">
        <f t="shared" si="10"/>
        <v>0</v>
      </c>
      <c r="AF29" s="29">
        <f t="shared" si="11"/>
        <v>0</v>
      </c>
      <c r="AG29" s="29">
        <f t="shared" si="12"/>
        <v>0</v>
      </c>
      <c r="AH29" s="24">
        <f t="shared" si="13"/>
        <v>0</v>
      </c>
    </row>
    <row r="30" spans="1:34" x14ac:dyDescent="0.35">
      <c r="A30" s="57"/>
      <c r="B30" s="57"/>
      <c r="C30" s="57"/>
      <c r="D30" s="57"/>
      <c r="E30" s="58"/>
      <c r="F30" s="58"/>
      <c r="G30" s="59"/>
      <c r="H30" s="60"/>
      <c r="I30" s="60"/>
      <c r="J30" s="35">
        <f t="shared" si="15"/>
        <v>0</v>
      </c>
      <c r="K30" s="35">
        <f t="shared" si="15"/>
        <v>0</v>
      </c>
      <c r="L30" s="35">
        <f t="shared" si="15"/>
        <v>0</v>
      </c>
      <c r="M30" s="35">
        <f t="shared" si="15"/>
        <v>0</v>
      </c>
      <c r="N30" s="35">
        <f t="shared" si="15"/>
        <v>0</v>
      </c>
      <c r="O30" s="35">
        <f t="shared" si="15"/>
        <v>0</v>
      </c>
      <c r="P30" s="35">
        <f t="shared" si="15"/>
        <v>0</v>
      </c>
      <c r="Q30" s="35">
        <f t="shared" si="15"/>
        <v>0</v>
      </c>
      <c r="R30" s="35">
        <f t="shared" si="15"/>
        <v>0</v>
      </c>
      <c r="S30" s="35">
        <f t="shared" si="15"/>
        <v>0</v>
      </c>
      <c r="T30" s="35">
        <f t="shared" si="15"/>
        <v>0</v>
      </c>
      <c r="U30" s="35">
        <f t="shared" si="15"/>
        <v>0</v>
      </c>
      <c r="V30" s="29">
        <f t="shared" si="1"/>
        <v>0</v>
      </c>
      <c r="W30" s="29">
        <f t="shared" si="2"/>
        <v>0</v>
      </c>
      <c r="X30" s="29">
        <f t="shared" si="3"/>
        <v>0</v>
      </c>
      <c r="Y30" s="29">
        <f t="shared" si="4"/>
        <v>0</v>
      </c>
      <c r="Z30" s="29">
        <f t="shared" si="5"/>
        <v>0</v>
      </c>
      <c r="AA30" s="29">
        <f t="shared" si="6"/>
        <v>0</v>
      </c>
      <c r="AB30" s="29">
        <f t="shared" si="7"/>
        <v>0</v>
      </c>
      <c r="AC30" s="29">
        <f t="shared" si="8"/>
        <v>0</v>
      </c>
      <c r="AD30" s="29">
        <f t="shared" si="9"/>
        <v>0</v>
      </c>
      <c r="AE30" s="29">
        <f t="shared" si="10"/>
        <v>0</v>
      </c>
      <c r="AF30" s="29">
        <f t="shared" si="11"/>
        <v>0</v>
      </c>
      <c r="AG30" s="29">
        <f t="shared" si="12"/>
        <v>0</v>
      </c>
      <c r="AH30" s="24">
        <f t="shared" si="13"/>
        <v>0</v>
      </c>
    </row>
    <row r="31" spans="1:34" x14ac:dyDescent="0.35">
      <c r="A31" s="57"/>
      <c r="B31" s="57"/>
      <c r="C31" s="57"/>
      <c r="D31" s="57"/>
      <c r="E31" s="58"/>
      <c r="F31" s="58"/>
      <c r="G31" s="59"/>
      <c r="H31" s="60"/>
      <c r="I31" s="60"/>
      <c r="J31" s="35">
        <f t="shared" si="15"/>
        <v>0</v>
      </c>
      <c r="K31" s="35">
        <f t="shared" si="15"/>
        <v>0</v>
      </c>
      <c r="L31" s="35">
        <f t="shared" si="15"/>
        <v>0</v>
      </c>
      <c r="M31" s="35">
        <f t="shared" si="15"/>
        <v>0</v>
      </c>
      <c r="N31" s="35">
        <f t="shared" si="15"/>
        <v>0</v>
      </c>
      <c r="O31" s="35">
        <f t="shared" si="15"/>
        <v>0</v>
      </c>
      <c r="P31" s="35">
        <f t="shared" si="15"/>
        <v>0</v>
      </c>
      <c r="Q31" s="35">
        <f t="shared" si="15"/>
        <v>0</v>
      </c>
      <c r="R31" s="35">
        <f t="shared" si="15"/>
        <v>0</v>
      </c>
      <c r="S31" s="35">
        <f t="shared" si="15"/>
        <v>0</v>
      </c>
      <c r="T31" s="35">
        <f t="shared" si="15"/>
        <v>0</v>
      </c>
      <c r="U31" s="35">
        <f t="shared" si="15"/>
        <v>0</v>
      </c>
      <c r="V31" s="29">
        <f t="shared" si="1"/>
        <v>0</v>
      </c>
      <c r="W31" s="29">
        <f t="shared" si="2"/>
        <v>0</v>
      </c>
      <c r="X31" s="29">
        <f t="shared" si="3"/>
        <v>0</v>
      </c>
      <c r="Y31" s="29">
        <f t="shared" si="4"/>
        <v>0</v>
      </c>
      <c r="Z31" s="29">
        <f t="shared" si="5"/>
        <v>0</v>
      </c>
      <c r="AA31" s="29">
        <f t="shared" si="6"/>
        <v>0</v>
      </c>
      <c r="AB31" s="29">
        <f t="shared" si="7"/>
        <v>0</v>
      </c>
      <c r="AC31" s="29">
        <f t="shared" si="8"/>
        <v>0</v>
      </c>
      <c r="AD31" s="29">
        <f t="shared" si="9"/>
        <v>0</v>
      </c>
      <c r="AE31" s="29">
        <f t="shared" si="10"/>
        <v>0</v>
      </c>
      <c r="AF31" s="29">
        <f t="shared" si="11"/>
        <v>0</v>
      </c>
      <c r="AG31" s="29">
        <f t="shared" si="12"/>
        <v>0</v>
      </c>
      <c r="AH31" s="24">
        <f t="shared" si="13"/>
        <v>0</v>
      </c>
    </row>
    <row r="32" spans="1:34" x14ac:dyDescent="0.35">
      <c r="A32" s="57"/>
      <c r="B32" s="57"/>
      <c r="C32" s="57"/>
      <c r="D32" s="57"/>
      <c r="E32" s="58"/>
      <c r="F32" s="58"/>
      <c r="G32" s="59"/>
      <c r="H32" s="60"/>
      <c r="I32" s="60"/>
      <c r="J32" s="35">
        <f t="shared" si="15"/>
        <v>0</v>
      </c>
      <c r="K32" s="35">
        <f t="shared" si="15"/>
        <v>0</v>
      </c>
      <c r="L32" s="35">
        <f t="shared" si="15"/>
        <v>0</v>
      </c>
      <c r="M32" s="35">
        <f t="shared" si="15"/>
        <v>0</v>
      </c>
      <c r="N32" s="35">
        <f t="shared" si="15"/>
        <v>0</v>
      </c>
      <c r="O32" s="35">
        <f t="shared" si="15"/>
        <v>0</v>
      </c>
      <c r="P32" s="35">
        <f t="shared" si="15"/>
        <v>0</v>
      </c>
      <c r="Q32" s="35">
        <f t="shared" si="15"/>
        <v>0</v>
      </c>
      <c r="R32" s="35">
        <f t="shared" si="15"/>
        <v>0</v>
      </c>
      <c r="S32" s="35">
        <f t="shared" si="15"/>
        <v>0</v>
      </c>
      <c r="T32" s="35">
        <f t="shared" si="15"/>
        <v>0</v>
      </c>
      <c r="U32" s="35">
        <f t="shared" si="15"/>
        <v>0</v>
      </c>
      <c r="V32" s="29">
        <f t="shared" si="1"/>
        <v>0</v>
      </c>
      <c r="W32" s="29">
        <f t="shared" si="2"/>
        <v>0</v>
      </c>
      <c r="X32" s="29">
        <f t="shared" si="3"/>
        <v>0</v>
      </c>
      <c r="Y32" s="29">
        <f t="shared" si="4"/>
        <v>0</v>
      </c>
      <c r="Z32" s="29">
        <f t="shared" si="5"/>
        <v>0</v>
      </c>
      <c r="AA32" s="29">
        <f t="shared" si="6"/>
        <v>0</v>
      </c>
      <c r="AB32" s="29">
        <f t="shared" si="7"/>
        <v>0</v>
      </c>
      <c r="AC32" s="29">
        <f t="shared" si="8"/>
        <v>0</v>
      </c>
      <c r="AD32" s="29">
        <f t="shared" si="9"/>
        <v>0</v>
      </c>
      <c r="AE32" s="29">
        <f t="shared" si="10"/>
        <v>0</v>
      </c>
      <c r="AF32" s="29">
        <f t="shared" si="11"/>
        <v>0</v>
      </c>
      <c r="AG32" s="29">
        <f t="shared" si="12"/>
        <v>0</v>
      </c>
      <c r="AH32" s="24">
        <f t="shared" si="13"/>
        <v>0</v>
      </c>
    </row>
    <row r="33" spans="1:34" x14ac:dyDescent="0.35">
      <c r="A33" s="57"/>
      <c r="B33" s="57"/>
      <c r="C33" s="57"/>
      <c r="D33" s="57"/>
      <c r="E33" s="58"/>
      <c r="F33" s="58"/>
      <c r="G33" s="59"/>
      <c r="H33" s="60"/>
      <c r="I33" s="60"/>
      <c r="J33" s="35">
        <f t="shared" si="15"/>
        <v>0</v>
      </c>
      <c r="K33" s="35">
        <f t="shared" si="15"/>
        <v>0</v>
      </c>
      <c r="L33" s="35">
        <f t="shared" si="15"/>
        <v>0</v>
      </c>
      <c r="M33" s="35">
        <f t="shared" si="15"/>
        <v>0</v>
      </c>
      <c r="N33" s="35">
        <f t="shared" si="15"/>
        <v>0</v>
      </c>
      <c r="O33" s="35">
        <f t="shared" si="15"/>
        <v>0</v>
      </c>
      <c r="P33" s="35">
        <f t="shared" si="15"/>
        <v>0</v>
      </c>
      <c r="Q33" s="35">
        <f t="shared" si="15"/>
        <v>0</v>
      </c>
      <c r="R33" s="35">
        <f t="shared" si="15"/>
        <v>0</v>
      </c>
      <c r="S33" s="35">
        <f t="shared" si="15"/>
        <v>0</v>
      </c>
      <c r="T33" s="35">
        <f t="shared" si="15"/>
        <v>0</v>
      </c>
      <c r="U33" s="35">
        <f t="shared" si="15"/>
        <v>0</v>
      </c>
      <c r="V33" s="29">
        <f t="shared" si="1"/>
        <v>0</v>
      </c>
      <c r="W33" s="29">
        <f t="shared" si="2"/>
        <v>0</v>
      </c>
      <c r="X33" s="29">
        <f t="shared" si="3"/>
        <v>0</v>
      </c>
      <c r="Y33" s="29">
        <f t="shared" si="4"/>
        <v>0</v>
      </c>
      <c r="Z33" s="29">
        <f t="shared" si="5"/>
        <v>0</v>
      </c>
      <c r="AA33" s="29">
        <f t="shared" si="6"/>
        <v>0</v>
      </c>
      <c r="AB33" s="29">
        <f t="shared" si="7"/>
        <v>0</v>
      </c>
      <c r="AC33" s="29">
        <f t="shared" si="8"/>
        <v>0</v>
      </c>
      <c r="AD33" s="29">
        <f t="shared" si="9"/>
        <v>0</v>
      </c>
      <c r="AE33" s="29">
        <f t="shared" si="10"/>
        <v>0</v>
      </c>
      <c r="AF33" s="29">
        <f t="shared" si="11"/>
        <v>0</v>
      </c>
      <c r="AG33" s="29">
        <f t="shared" si="12"/>
        <v>0</v>
      </c>
      <c r="AH33" s="24">
        <f t="shared" si="13"/>
        <v>0</v>
      </c>
    </row>
    <row r="34" spans="1:34" x14ac:dyDescent="0.35">
      <c r="A34" s="57"/>
      <c r="B34" s="57"/>
      <c r="C34" s="57"/>
      <c r="D34" s="57"/>
      <c r="E34" s="58"/>
      <c r="F34" s="58"/>
      <c r="G34" s="59"/>
      <c r="H34" s="60"/>
      <c r="I34" s="60"/>
      <c r="J34" s="35">
        <f t="shared" si="15"/>
        <v>0</v>
      </c>
      <c r="K34" s="35">
        <f t="shared" si="15"/>
        <v>0</v>
      </c>
      <c r="L34" s="35">
        <f t="shared" si="15"/>
        <v>0</v>
      </c>
      <c r="M34" s="35">
        <f t="shared" si="15"/>
        <v>0</v>
      </c>
      <c r="N34" s="35">
        <f t="shared" si="15"/>
        <v>0</v>
      </c>
      <c r="O34" s="35">
        <f t="shared" si="15"/>
        <v>0</v>
      </c>
      <c r="P34" s="35">
        <f t="shared" si="15"/>
        <v>0</v>
      </c>
      <c r="Q34" s="35">
        <f t="shared" si="15"/>
        <v>0</v>
      </c>
      <c r="R34" s="35">
        <f t="shared" si="15"/>
        <v>0</v>
      </c>
      <c r="S34" s="35">
        <f t="shared" si="15"/>
        <v>0</v>
      </c>
      <c r="T34" s="35">
        <f t="shared" si="15"/>
        <v>0</v>
      </c>
      <c r="U34" s="35">
        <f t="shared" si="15"/>
        <v>0</v>
      </c>
      <c r="V34" s="29">
        <f t="shared" si="1"/>
        <v>0</v>
      </c>
      <c r="W34" s="29">
        <f t="shared" si="2"/>
        <v>0</v>
      </c>
      <c r="X34" s="29">
        <f t="shared" si="3"/>
        <v>0</v>
      </c>
      <c r="Y34" s="29">
        <f t="shared" si="4"/>
        <v>0</v>
      </c>
      <c r="Z34" s="29">
        <f t="shared" si="5"/>
        <v>0</v>
      </c>
      <c r="AA34" s="29">
        <f t="shared" si="6"/>
        <v>0</v>
      </c>
      <c r="AB34" s="29">
        <f t="shared" si="7"/>
        <v>0</v>
      </c>
      <c r="AC34" s="29">
        <f t="shared" si="8"/>
        <v>0</v>
      </c>
      <c r="AD34" s="29">
        <f t="shared" si="9"/>
        <v>0</v>
      </c>
      <c r="AE34" s="29">
        <f t="shared" si="10"/>
        <v>0</v>
      </c>
      <c r="AF34" s="29">
        <f t="shared" si="11"/>
        <v>0</v>
      </c>
      <c r="AG34" s="29">
        <f t="shared" si="12"/>
        <v>0</v>
      </c>
      <c r="AH34" s="24">
        <f t="shared" si="13"/>
        <v>0</v>
      </c>
    </row>
    <row r="35" spans="1:34" x14ac:dyDescent="0.35">
      <c r="A35" s="57"/>
      <c r="B35" s="57"/>
      <c r="C35" s="57"/>
      <c r="D35" s="57"/>
      <c r="E35" s="58"/>
      <c r="F35" s="58"/>
      <c r="G35" s="59"/>
      <c r="H35" s="60"/>
      <c r="I35" s="60"/>
      <c r="J35" s="35">
        <f t="shared" si="15"/>
        <v>0</v>
      </c>
      <c r="K35" s="35">
        <f t="shared" si="15"/>
        <v>0</v>
      </c>
      <c r="L35" s="35">
        <f t="shared" si="15"/>
        <v>0</v>
      </c>
      <c r="M35" s="35">
        <f t="shared" si="15"/>
        <v>0</v>
      </c>
      <c r="N35" s="35">
        <f t="shared" si="15"/>
        <v>0</v>
      </c>
      <c r="O35" s="35">
        <f t="shared" si="15"/>
        <v>0</v>
      </c>
      <c r="P35" s="35">
        <f t="shared" si="15"/>
        <v>0</v>
      </c>
      <c r="Q35" s="35">
        <f t="shared" si="15"/>
        <v>0</v>
      </c>
      <c r="R35" s="35">
        <f t="shared" si="15"/>
        <v>0</v>
      </c>
      <c r="S35" s="35">
        <f t="shared" si="15"/>
        <v>0</v>
      </c>
      <c r="T35" s="35">
        <f t="shared" si="15"/>
        <v>0</v>
      </c>
      <c r="U35" s="35">
        <f t="shared" si="15"/>
        <v>0</v>
      </c>
      <c r="V35" s="29">
        <f t="shared" si="1"/>
        <v>0</v>
      </c>
      <c r="W35" s="29">
        <f t="shared" si="2"/>
        <v>0</v>
      </c>
      <c r="X35" s="29">
        <f t="shared" si="3"/>
        <v>0</v>
      </c>
      <c r="Y35" s="29">
        <f t="shared" si="4"/>
        <v>0</v>
      </c>
      <c r="Z35" s="29">
        <f t="shared" si="5"/>
        <v>0</v>
      </c>
      <c r="AA35" s="29">
        <f t="shared" si="6"/>
        <v>0</v>
      </c>
      <c r="AB35" s="29">
        <f t="shared" si="7"/>
        <v>0</v>
      </c>
      <c r="AC35" s="29">
        <f t="shared" si="8"/>
        <v>0</v>
      </c>
      <c r="AD35" s="29">
        <f t="shared" si="9"/>
        <v>0</v>
      </c>
      <c r="AE35" s="29">
        <f t="shared" si="10"/>
        <v>0</v>
      </c>
      <c r="AF35" s="29">
        <f t="shared" si="11"/>
        <v>0</v>
      </c>
      <c r="AG35" s="29">
        <f t="shared" si="12"/>
        <v>0</v>
      </c>
      <c r="AH35" s="24">
        <f t="shared" si="13"/>
        <v>0</v>
      </c>
    </row>
    <row r="36" spans="1:34" x14ac:dyDescent="0.35">
      <c r="A36" s="57"/>
      <c r="B36" s="57"/>
      <c r="C36" s="57"/>
      <c r="D36" s="57"/>
      <c r="E36" s="58"/>
      <c r="F36" s="58"/>
      <c r="G36" s="59"/>
      <c r="H36" s="60"/>
      <c r="I36" s="60"/>
      <c r="J36" s="35">
        <f t="shared" si="15"/>
        <v>0</v>
      </c>
      <c r="K36" s="35">
        <f t="shared" si="15"/>
        <v>0</v>
      </c>
      <c r="L36" s="35">
        <f t="shared" si="15"/>
        <v>0</v>
      </c>
      <c r="M36" s="35">
        <f t="shared" si="15"/>
        <v>0</v>
      </c>
      <c r="N36" s="35">
        <f t="shared" si="15"/>
        <v>0</v>
      </c>
      <c r="O36" s="35">
        <f t="shared" si="15"/>
        <v>0</v>
      </c>
      <c r="P36" s="35">
        <f t="shared" si="15"/>
        <v>0</v>
      </c>
      <c r="Q36" s="35">
        <f t="shared" si="15"/>
        <v>0</v>
      </c>
      <c r="R36" s="35">
        <f t="shared" si="15"/>
        <v>0</v>
      </c>
      <c r="S36" s="35">
        <f t="shared" si="15"/>
        <v>0</v>
      </c>
      <c r="T36" s="35">
        <f t="shared" si="15"/>
        <v>0</v>
      </c>
      <c r="U36" s="35">
        <f t="shared" si="15"/>
        <v>0</v>
      </c>
      <c r="V36" s="29">
        <f t="shared" si="1"/>
        <v>0</v>
      </c>
      <c r="W36" s="29">
        <f t="shared" si="2"/>
        <v>0</v>
      </c>
      <c r="X36" s="29">
        <f t="shared" si="3"/>
        <v>0</v>
      </c>
      <c r="Y36" s="29">
        <f t="shared" si="4"/>
        <v>0</v>
      </c>
      <c r="Z36" s="29">
        <f t="shared" si="5"/>
        <v>0</v>
      </c>
      <c r="AA36" s="29">
        <f t="shared" si="6"/>
        <v>0</v>
      </c>
      <c r="AB36" s="29">
        <f t="shared" si="7"/>
        <v>0</v>
      </c>
      <c r="AC36" s="29">
        <f t="shared" si="8"/>
        <v>0</v>
      </c>
      <c r="AD36" s="29">
        <f t="shared" si="9"/>
        <v>0</v>
      </c>
      <c r="AE36" s="29">
        <f t="shared" si="10"/>
        <v>0</v>
      </c>
      <c r="AF36" s="29">
        <f t="shared" si="11"/>
        <v>0</v>
      </c>
      <c r="AG36" s="29">
        <f t="shared" si="12"/>
        <v>0</v>
      </c>
      <c r="AH36" s="24">
        <f t="shared" si="13"/>
        <v>0</v>
      </c>
    </row>
    <row r="37" spans="1:34" x14ac:dyDescent="0.35">
      <c r="A37" s="57"/>
      <c r="B37" s="57"/>
      <c r="C37" s="57"/>
      <c r="D37" s="57"/>
      <c r="E37" s="58"/>
      <c r="F37" s="58"/>
      <c r="G37" s="59"/>
      <c r="H37" s="60"/>
      <c r="I37" s="60"/>
      <c r="J37" s="35">
        <f t="shared" si="15"/>
        <v>0</v>
      </c>
      <c r="K37" s="35">
        <f t="shared" si="15"/>
        <v>0</v>
      </c>
      <c r="L37" s="35">
        <f t="shared" si="15"/>
        <v>0</v>
      </c>
      <c r="M37" s="35">
        <f t="shared" si="15"/>
        <v>0</v>
      </c>
      <c r="N37" s="35">
        <f t="shared" si="15"/>
        <v>0</v>
      </c>
      <c r="O37" s="35">
        <f t="shared" si="15"/>
        <v>0</v>
      </c>
      <c r="P37" s="35">
        <f t="shared" si="15"/>
        <v>0</v>
      </c>
      <c r="Q37" s="35">
        <f t="shared" si="15"/>
        <v>0</v>
      </c>
      <c r="R37" s="35">
        <f t="shared" si="15"/>
        <v>0</v>
      </c>
      <c r="S37" s="35">
        <f t="shared" si="15"/>
        <v>0</v>
      </c>
      <c r="T37" s="35">
        <f t="shared" si="15"/>
        <v>0</v>
      </c>
      <c r="U37" s="35">
        <f t="shared" si="15"/>
        <v>0</v>
      </c>
      <c r="V37" s="29">
        <f t="shared" si="1"/>
        <v>0</v>
      </c>
      <c r="W37" s="29">
        <f t="shared" si="2"/>
        <v>0</v>
      </c>
      <c r="X37" s="29">
        <f t="shared" si="3"/>
        <v>0</v>
      </c>
      <c r="Y37" s="29">
        <f t="shared" si="4"/>
        <v>0</v>
      </c>
      <c r="Z37" s="29">
        <f t="shared" si="5"/>
        <v>0</v>
      </c>
      <c r="AA37" s="29">
        <f t="shared" si="6"/>
        <v>0</v>
      </c>
      <c r="AB37" s="29">
        <f t="shared" si="7"/>
        <v>0</v>
      </c>
      <c r="AC37" s="29">
        <f t="shared" si="8"/>
        <v>0</v>
      </c>
      <c r="AD37" s="29">
        <f t="shared" si="9"/>
        <v>0</v>
      </c>
      <c r="AE37" s="29">
        <f t="shared" si="10"/>
        <v>0</v>
      </c>
      <c r="AF37" s="29">
        <f t="shared" si="11"/>
        <v>0</v>
      </c>
      <c r="AG37" s="29">
        <f t="shared" si="12"/>
        <v>0</v>
      </c>
      <c r="AH37" s="24">
        <f t="shared" si="13"/>
        <v>0</v>
      </c>
    </row>
    <row r="38" spans="1:34" x14ac:dyDescent="0.35">
      <c r="A38" s="57"/>
      <c r="B38" s="57"/>
      <c r="C38" s="57"/>
      <c r="D38" s="57"/>
      <c r="E38" s="58"/>
      <c r="F38" s="58"/>
      <c r="G38" s="59"/>
      <c r="H38" s="60"/>
      <c r="I38" s="60"/>
      <c r="J38" s="35">
        <f t="shared" ref="J38:U47" si="16">IF($E38="",0,$G38*MAX(0,MIN(J$5,IF($F38="",J$5,$F38))-MAX(J$4,$E38)+1)/(J$5-J$4+1))</f>
        <v>0</v>
      </c>
      <c r="K38" s="35">
        <f t="shared" si="16"/>
        <v>0</v>
      </c>
      <c r="L38" s="35">
        <f t="shared" si="16"/>
        <v>0</v>
      </c>
      <c r="M38" s="35">
        <f t="shared" si="16"/>
        <v>0</v>
      </c>
      <c r="N38" s="35">
        <f t="shared" si="16"/>
        <v>0</v>
      </c>
      <c r="O38" s="35">
        <f t="shared" si="16"/>
        <v>0</v>
      </c>
      <c r="P38" s="35">
        <f t="shared" si="16"/>
        <v>0</v>
      </c>
      <c r="Q38" s="35">
        <f t="shared" si="16"/>
        <v>0</v>
      </c>
      <c r="R38" s="35">
        <f t="shared" si="16"/>
        <v>0</v>
      </c>
      <c r="S38" s="35">
        <f t="shared" si="16"/>
        <v>0</v>
      </c>
      <c r="T38" s="35">
        <f t="shared" si="16"/>
        <v>0</v>
      </c>
      <c r="U38" s="35">
        <f t="shared" si="16"/>
        <v>0</v>
      </c>
      <c r="V38" s="29">
        <f t="shared" si="1"/>
        <v>0</v>
      </c>
      <c r="W38" s="29">
        <f t="shared" si="2"/>
        <v>0</v>
      </c>
      <c r="X38" s="29">
        <f t="shared" si="3"/>
        <v>0</v>
      </c>
      <c r="Y38" s="29">
        <f t="shared" si="4"/>
        <v>0</v>
      </c>
      <c r="Z38" s="29">
        <f t="shared" si="5"/>
        <v>0</v>
      </c>
      <c r="AA38" s="29">
        <f t="shared" si="6"/>
        <v>0</v>
      </c>
      <c r="AB38" s="29">
        <f t="shared" si="7"/>
        <v>0</v>
      </c>
      <c r="AC38" s="29">
        <f t="shared" si="8"/>
        <v>0</v>
      </c>
      <c r="AD38" s="29">
        <f t="shared" si="9"/>
        <v>0</v>
      </c>
      <c r="AE38" s="29">
        <f t="shared" si="10"/>
        <v>0</v>
      </c>
      <c r="AF38" s="29">
        <f t="shared" si="11"/>
        <v>0</v>
      </c>
      <c r="AG38" s="29">
        <f t="shared" si="12"/>
        <v>0</v>
      </c>
      <c r="AH38" s="24">
        <f t="shared" si="13"/>
        <v>0</v>
      </c>
    </row>
    <row r="39" spans="1:34" x14ac:dyDescent="0.35">
      <c r="A39" s="57"/>
      <c r="B39" s="57"/>
      <c r="C39" s="57"/>
      <c r="D39" s="57"/>
      <c r="E39" s="58"/>
      <c r="F39" s="58"/>
      <c r="G39" s="59"/>
      <c r="H39" s="60"/>
      <c r="I39" s="60"/>
      <c r="J39" s="35">
        <f t="shared" si="16"/>
        <v>0</v>
      </c>
      <c r="K39" s="35">
        <f t="shared" si="16"/>
        <v>0</v>
      </c>
      <c r="L39" s="35">
        <f t="shared" si="16"/>
        <v>0</v>
      </c>
      <c r="M39" s="35">
        <f t="shared" si="16"/>
        <v>0</v>
      </c>
      <c r="N39" s="35">
        <f t="shared" si="16"/>
        <v>0</v>
      </c>
      <c r="O39" s="35">
        <f t="shared" si="16"/>
        <v>0</v>
      </c>
      <c r="P39" s="35">
        <f t="shared" si="16"/>
        <v>0</v>
      </c>
      <c r="Q39" s="35">
        <f t="shared" si="16"/>
        <v>0</v>
      </c>
      <c r="R39" s="35">
        <f t="shared" si="16"/>
        <v>0</v>
      </c>
      <c r="S39" s="35">
        <f t="shared" si="16"/>
        <v>0</v>
      </c>
      <c r="T39" s="35">
        <f t="shared" si="16"/>
        <v>0</v>
      </c>
      <c r="U39" s="35">
        <f t="shared" si="16"/>
        <v>0</v>
      </c>
      <c r="V39" s="29">
        <f t="shared" si="1"/>
        <v>0</v>
      </c>
      <c r="W39" s="29">
        <f t="shared" si="2"/>
        <v>0</v>
      </c>
      <c r="X39" s="29">
        <f t="shared" si="3"/>
        <v>0</v>
      </c>
      <c r="Y39" s="29">
        <f t="shared" si="4"/>
        <v>0</v>
      </c>
      <c r="Z39" s="29">
        <f t="shared" si="5"/>
        <v>0</v>
      </c>
      <c r="AA39" s="29">
        <f t="shared" si="6"/>
        <v>0</v>
      </c>
      <c r="AB39" s="29">
        <f t="shared" si="7"/>
        <v>0</v>
      </c>
      <c r="AC39" s="29">
        <f t="shared" si="8"/>
        <v>0</v>
      </c>
      <c r="AD39" s="29">
        <f t="shared" si="9"/>
        <v>0</v>
      </c>
      <c r="AE39" s="29">
        <f t="shared" si="10"/>
        <v>0</v>
      </c>
      <c r="AF39" s="29">
        <f t="shared" si="11"/>
        <v>0</v>
      </c>
      <c r="AG39" s="29">
        <f t="shared" si="12"/>
        <v>0</v>
      </c>
      <c r="AH39" s="24">
        <f t="shared" si="13"/>
        <v>0</v>
      </c>
    </row>
    <row r="40" spans="1:34" x14ac:dyDescent="0.35">
      <c r="A40" s="57"/>
      <c r="B40" s="57"/>
      <c r="C40" s="57"/>
      <c r="D40" s="57"/>
      <c r="E40" s="58"/>
      <c r="F40" s="58"/>
      <c r="G40" s="59"/>
      <c r="H40" s="60"/>
      <c r="I40" s="60"/>
      <c r="J40" s="35">
        <f t="shared" si="16"/>
        <v>0</v>
      </c>
      <c r="K40" s="35">
        <f t="shared" si="16"/>
        <v>0</v>
      </c>
      <c r="L40" s="35">
        <f t="shared" si="16"/>
        <v>0</v>
      </c>
      <c r="M40" s="35">
        <f t="shared" si="16"/>
        <v>0</v>
      </c>
      <c r="N40" s="35">
        <f t="shared" si="16"/>
        <v>0</v>
      </c>
      <c r="O40" s="35">
        <f t="shared" si="16"/>
        <v>0</v>
      </c>
      <c r="P40" s="35">
        <f t="shared" si="16"/>
        <v>0</v>
      </c>
      <c r="Q40" s="35">
        <f t="shared" si="16"/>
        <v>0</v>
      </c>
      <c r="R40" s="35">
        <f t="shared" si="16"/>
        <v>0</v>
      </c>
      <c r="S40" s="35">
        <f t="shared" si="16"/>
        <v>0</v>
      </c>
      <c r="T40" s="35">
        <f t="shared" si="16"/>
        <v>0</v>
      </c>
      <c r="U40" s="35">
        <f t="shared" si="16"/>
        <v>0</v>
      </c>
      <c r="V40" s="29">
        <f t="shared" si="1"/>
        <v>0</v>
      </c>
      <c r="W40" s="29">
        <f t="shared" si="2"/>
        <v>0</v>
      </c>
      <c r="X40" s="29">
        <f t="shared" si="3"/>
        <v>0</v>
      </c>
      <c r="Y40" s="29">
        <f t="shared" si="4"/>
        <v>0</v>
      </c>
      <c r="Z40" s="29">
        <f t="shared" si="5"/>
        <v>0</v>
      </c>
      <c r="AA40" s="29">
        <f t="shared" si="6"/>
        <v>0</v>
      </c>
      <c r="AB40" s="29">
        <f t="shared" si="7"/>
        <v>0</v>
      </c>
      <c r="AC40" s="29">
        <f t="shared" si="8"/>
        <v>0</v>
      </c>
      <c r="AD40" s="29">
        <f t="shared" si="9"/>
        <v>0</v>
      </c>
      <c r="AE40" s="29">
        <f t="shared" si="10"/>
        <v>0</v>
      </c>
      <c r="AF40" s="29">
        <f t="shared" si="11"/>
        <v>0</v>
      </c>
      <c r="AG40" s="29">
        <f t="shared" si="12"/>
        <v>0</v>
      </c>
      <c r="AH40" s="24">
        <f t="shared" si="13"/>
        <v>0</v>
      </c>
    </row>
    <row r="41" spans="1:34" x14ac:dyDescent="0.35">
      <c r="A41" s="57"/>
      <c r="B41" s="57"/>
      <c r="C41" s="57"/>
      <c r="D41" s="57"/>
      <c r="E41" s="58"/>
      <c r="F41" s="58"/>
      <c r="G41" s="59"/>
      <c r="H41" s="60"/>
      <c r="I41" s="60"/>
      <c r="J41" s="35">
        <f t="shared" si="16"/>
        <v>0</v>
      </c>
      <c r="K41" s="35">
        <f t="shared" si="16"/>
        <v>0</v>
      </c>
      <c r="L41" s="35">
        <f t="shared" si="16"/>
        <v>0</v>
      </c>
      <c r="M41" s="35">
        <f t="shared" si="16"/>
        <v>0</v>
      </c>
      <c r="N41" s="35">
        <f t="shared" si="16"/>
        <v>0</v>
      </c>
      <c r="O41" s="35">
        <f t="shared" si="16"/>
        <v>0</v>
      </c>
      <c r="P41" s="35">
        <f t="shared" si="16"/>
        <v>0</v>
      </c>
      <c r="Q41" s="35">
        <f t="shared" si="16"/>
        <v>0</v>
      </c>
      <c r="R41" s="35">
        <f t="shared" si="16"/>
        <v>0</v>
      </c>
      <c r="S41" s="35">
        <f t="shared" si="16"/>
        <v>0</v>
      </c>
      <c r="T41" s="35">
        <f t="shared" si="16"/>
        <v>0</v>
      </c>
      <c r="U41" s="35">
        <f t="shared" si="16"/>
        <v>0</v>
      </c>
      <c r="V41" s="29">
        <f t="shared" si="1"/>
        <v>0</v>
      </c>
      <c r="W41" s="29">
        <f t="shared" si="2"/>
        <v>0</v>
      </c>
      <c r="X41" s="29">
        <f t="shared" si="3"/>
        <v>0</v>
      </c>
      <c r="Y41" s="29">
        <f t="shared" si="4"/>
        <v>0</v>
      </c>
      <c r="Z41" s="29">
        <f t="shared" si="5"/>
        <v>0</v>
      </c>
      <c r="AA41" s="29">
        <f t="shared" si="6"/>
        <v>0</v>
      </c>
      <c r="AB41" s="29">
        <f t="shared" si="7"/>
        <v>0</v>
      </c>
      <c r="AC41" s="29">
        <f t="shared" si="8"/>
        <v>0</v>
      </c>
      <c r="AD41" s="29">
        <f t="shared" si="9"/>
        <v>0</v>
      </c>
      <c r="AE41" s="29">
        <f t="shared" si="10"/>
        <v>0</v>
      </c>
      <c r="AF41" s="29">
        <f t="shared" si="11"/>
        <v>0</v>
      </c>
      <c r="AG41" s="29">
        <f t="shared" si="12"/>
        <v>0</v>
      </c>
      <c r="AH41" s="24">
        <f t="shared" si="13"/>
        <v>0</v>
      </c>
    </row>
    <row r="42" spans="1:34" x14ac:dyDescent="0.35">
      <c r="A42" s="57"/>
      <c r="B42" s="57"/>
      <c r="C42" s="57"/>
      <c r="D42" s="57"/>
      <c r="E42" s="58"/>
      <c r="F42" s="58"/>
      <c r="G42" s="59"/>
      <c r="H42" s="60"/>
      <c r="I42" s="60"/>
      <c r="J42" s="35">
        <f t="shared" si="16"/>
        <v>0</v>
      </c>
      <c r="K42" s="35">
        <f t="shared" si="16"/>
        <v>0</v>
      </c>
      <c r="L42" s="35">
        <f t="shared" si="16"/>
        <v>0</v>
      </c>
      <c r="M42" s="35">
        <f t="shared" si="16"/>
        <v>0</v>
      </c>
      <c r="N42" s="35">
        <f t="shared" si="16"/>
        <v>0</v>
      </c>
      <c r="O42" s="35">
        <f t="shared" si="16"/>
        <v>0</v>
      </c>
      <c r="P42" s="35">
        <f t="shared" si="16"/>
        <v>0</v>
      </c>
      <c r="Q42" s="35">
        <f t="shared" si="16"/>
        <v>0</v>
      </c>
      <c r="R42" s="35">
        <f t="shared" si="16"/>
        <v>0</v>
      </c>
      <c r="S42" s="35">
        <f t="shared" si="16"/>
        <v>0</v>
      </c>
      <c r="T42" s="35">
        <f t="shared" si="16"/>
        <v>0</v>
      </c>
      <c r="U42" s="35">
        <f t="shared" si="16"/>
        <v>0</v>
      </c>
      <c r="V42" s="29">
        <f t="shared" si="1"/>
        <v>0</v>
      </c>
      <c r="W42" s="29">
        <f t="shared" si="2"/>
        <v>0</v>
      </c>
      <c r="X42" s="29">
        <f t="shared" si="3"/>
        <v>0</v>
      </c>
      <c r="Y42" s="29">
        <f t="shared" si="4"/>
        <v>0</v>
      </c>
      <c r="Z42" s="29">
        <f t="shared" si="5"/>
        <v>0</v>
      </c>
      <c r="AA42" s="29">
        <f t="shared" si="6"/>
        <v>0</v>
      </c>
      <c r="AB42" s="29">
        <f t="shared" si="7"/>
        <v>0</v>
      </c>
      <c r="AC42" s="29">
        <f t="shared" si="8"/>
        <v>0</v>
      </c>
      <c r="AD42" s="29">
        <f t="shared" si="9"/>
        <v>0</v>
      </c>
      <c r="AE42" s="29">
        <f t="shared" si="10"/>
        <v>0</v>
      </c>
      <c r="AF42" s="29">
        <f t="shared" si="11"/>
        <v>0</v>
      </c>
      <c r="AG42" s="29">
        <f t="shared" si="12"/>
        <v>0</v>
      </c>
      <c r="AH42" s="24">
        <f t="shared" si="13"/>
        <v>0</v>
      </c>
    </row>
    <row r="43" spans="1:34" x14ac:dyDescent="0.35">
      <c r="A43" s="57"/>
      <c r="B43" s="57"/>
      <c r="C43" s="57"/>
      <c r="D43" s="57"/>
      <c r="E43" s="58"/>
      <c r="F43" s="58"/>
      <c r="G43" s="59"/>
      <c r="H43" s="60"/>
      <c r="I43" s="60"/>
      <c r="J43" s="35">
        <f t="shared" si="16"/>
        <v>0</v>
      </c>
      <c r="K43" s="35">
        <f t="shared" si="16"/>
        <v>0</v>
      </c>
      <c r="L43" s="35">
        <f t="shared" si="16"/>
        <v>0</v>
      </c>
      <c r="M43" s="35">
        <f t="shared" si="16"/>
        <v>0</v>
      </c>
      <c r="N43" s="35">
        <f t="shared" si="16"/>
        <v>0</v>
      </c>
      <c r="O43" s="35">
        <f t="shared" si="16"/>
        <v>0</v>
      </c>
      <c r="P43" s="35">
        <f t="shared" si="16"/>
        <v>0</v>
      </c>
      <c r="Q43" s="35">
        <f t="shared" si="16"/>
        <v>0</v>
      </c>
      <c r="R43" s="35">
        <f t="shared" si="16"/>
        <v>0</v>
      </c>
      <c r="S43" s="35">
        <f t="shared" si="16"/>
        <v>0</v>
      </c>
      <c r="T43" s="35">
        <f t="shared" si="16"/>
        <v>0</v>
      </c>
      <c r="U43" s="35">
        <f t="shared" si="16"/>
        <v>0</v>
      </c>
      <c r="V43" s="29">
        <f t="shared" si="1"/>
        <v>0</v>
      </c>
      <c r="W43" s="29">
        <f t="shared" si="2"/>
        <v>0</v>
      </c>
      <c r="X43" s="29">
        <f t="shared" si="3"/>
        <v>0</v>
      </c>
      <c r="Y43" s="29">
        <f t="shared" si="4"/>
        <v>0</v>
      </c>
      <c r="Z43" s="29">
        <f t="shared" si="5"/>
        <v>0</v>
      </c>
      <c r="AA43" s="29">
        <f t="shared" si="6"/>
        <v>0</v>
      </c>
      <c r="AB43" s="29">
        <f t="shared" si="7"/>
        <v>0</v>
      </c>
      <c r="AC43" s="29">
        <f t="shared" si="8"/>
        <v>0</v>
      </c>
      <c r="AD43" s="29">
        <f t="shared" si="9"/>
        <v>0</v>
      </c>
      <c r="AE43" s="29">
        <f t="shared" si="10"/>
        <v>0</v>
      </c>
      <c r="AF43" s="29">
        <f t="shared" si="11"/>
        <v>0</v>
      </c>
      <c r="AG43" s="29">
        <f t="shared" si="12"/>
        <v>0</v>
      </c>
      <c r="AH43" s="24">
        <f t="shared" si="13"/>
        <v>0</v>
      </c>
    </row>
    <row r="44" spans="1:34" x14ac:dyDescent="0.35">
      <c r="A44" s="57"/>
      <c r="B44" s="57"/>
      <c r="C44" s="57"/>
      <c r="D44" s="57"/>
      <c r="E44" s="58"/>
      <c r="F44" s="58"/>
      <c r="G44" s="59"/>
      <c r="H44" s="60"/>
      <c r="I44" s="60"/>
      <c r="J44" s="35">
        <f t="shared" si="16"/>
        <v>0</v>
      </c>
      <c r="K44" s="35">
        <f t="shared" si="16"/>
        <v>0</v>
      </c>
      <c r="L44" s="35">
        <f t="shared" si="16"/>
        <v>0</v>
      </c>
      <c r="M44" s="35">
        <f t="shared" si="16"/>
        <v>0</v>
      </c>
      <c r="N44" s="35">
        <f t="shared" si="16"/>
        <v>0</v>
      </c>
      <c r="O44" s="35">
        <f t="shared" si="16"/>
        <v>0</v>
      </c>
      <c r="P44" s="35">
        <f t="shared" si="16"/>
        <v>0</v>
      </c>
      <c r="Q44" s="35">
        <f t="shared" si="16"/>
        <v>0</v>
      </c>
      <c r="R44" s="35">
        <f t="shared" si="16"/>
        <v>0</v>
      </c>
      <c r="S44" s="35">
        <f t="shared" si="16"/>
        <v>0</v>
      </c>
      <c r="T44" s="35">
        <f t="shared" si="16"/>
        <v>0</v>
      </c>
      <c r="U44" s="35">
        <f t="shared" si="16"/>
        <v>0</v>
      </c>
      <c r="V44" s="29">
        <f t="shared" si="1"/>
        <v>0</v>
      </c>
      <c r="W44" s="29">
        <f t="shared" si="2"/>
        <v>0</v>
      </c>
      <c r="X44" s="29">
        <f t="shared" si="3"/>
        <v>0</v>
      </c>
      <c r="Y44" s="29">
        <f t="shared" si="4"/>
        <v>0</v>
      </c>
      <c r="Z44" s="29">
        <f t="shared" si="5"/>
        <v>0</v>
      </c>
      <c r="AA44" s="29">
        <f t="shared" si="6"/>
        <v>0</v>
      </c>
      <c r="AB44" s="29">
        <f t="shared" si="7"/>
        <v>0</v>
      </c>
      <c r="AC44" s="29">
        <f t="shared" si="8"/>
        <v>0</v>
      </c>
      <c r="AD44" s="29">
        <f t="shared" si="9"/>
        <v>0</v>
      </c>
      <c r="AE44" s="29">
        <f t="shared" si="10"/>
        <v>0</v>
      </c>
      <c r="AF44" s="29">
        <f t="shared" si="11"/>
        <v>0</v>
      </c>
      <c r="AG44" s="29">
        <f t="shared" si="12"/>
        <v>0</v>
      </c>
      <c r="AH44" s="24">
        <f t="shared" si="13"/>
        <v>0</v>
      </c>
    </row>
    <row r="45" spans="1:34" x14ac:dyDescent="0.35">
      <c r="A45" s="57"/>
      <c r="B45" s="57"/>
      <c r="C45" s="57"/>
      <c r="D45" s="57"/>
      <c r="E45" s="58"/>
      <c r="F45" s="58"/>
      <c r="G45" s="59"/>
      <c r="H45" s="60"/>
      <c r="I45" s="60"/>
      <c r="J45" s="35">
        <f t="shared" si="16"/>
        <v>0</v>
      </c>
      <c r="K45" s="35">
        <f t="shared" si="16"/>
        <v>0</v>
      </c>
      <c r="L45" s="35">
        <f t="shared" si="16"/>
        <v>0</v>
      </c>
      <c r="M45" s="35">
        <f t="shared" si="16"/>
        <v>0</v>
      </c>
      <c r="N45" s="35">
        <f t="shared" si="16"/>
        <v>0</v>
      </c>
      <c r="O45" s="35">
        <f t="shared" si="16"/>
        <v>0</v>
      </c>
      <c r="P45" s="35">
        <f t="shared" si="16"/>
        <v>0</v>
      </c>
      <c r="Q45" s="35">
        <f t="shared" si="16"/>
        <v>0</v>
      </c>
      <c r="R45" s="35">
        <f t="shared" si="16"/>
        <v>0</v>
      </c>
      <c r="S45" s="35">
        <f t="shared" si="16"/>
        <v>0</v>
      </c>
      <c r="T45" s="35">
        <f t="shared" si="16"/>
        <v>0</v>
      </c>
      <c r="U45" s="35">
        <f t="shared" si="16"/>
        <v>0</v>
      </c>
      <c r="V45" s="29">
        <f t="shared" si="1"/>
        <v>0</v>
      </c>
      <c r="W45" s="29">
        <f t="shared" si="2"/>
        <v>0</v>
      </c>
      <c r="X45" s="29">
        <f t="shared" si="3"/>
        <v>0</v>
      </c>
      <c r="Y45" s="29">
        <f t="shared" si="4"/>
        <v>0</v>
      </c>
      <c r="Z45" s="29">
        <f t="shared" si="5"/>
        <v>0</v>
      </c>
      <c r="AA45" s="29">
        <f t="shared" si="6"/>
        <v>0</v>
      </c>
      <c r="AB45" s="29">
        <f t="shared" si="7"/>
        <v>0</v>
      </c>
      <c r="AC45" s="29">
        <f t="shared" si="8"/>
        <v>0</v>
      </c>
      <c r="AD45" s="29">
        <f t="shared" si="9"/>
        <v>0</v>
      </c>
      <c r="AE45" s="29">
        <f t="shared" si="10"/>
        <v>0</v>
      </c>
      <c r="AF45" s="29">
        <f t="shared" si="11"/>
        <v>0</v>
      </c>
      <c r="AG45" s="29">
        <f t="shared" si="12"/>
        <v>0</v>
      </c>
      <c r="AH45" s="24">
        <f t="shared" si="13"/>
        <v>0</v>
      </c>
    </row>
    <row r="46" spans="1:34" x14ac:dyDescent="0.35">
      <c r="A46" s="57"/>
      <c r="B46" s="57"/>
      <c r="C46" s="57"/>
      <c r="D46" s="57"/>
      <c r="E46" s="58"/>
      <c r="F46" s="58"/>
      <c r="G46" s="59"/>
      <c r="H46" s="60"/>
      <c r="I46" s="60"/>
      <c r="J46" s="35">
        <f t="shared" si="16"/>
        <v>0</v>
      </c>
      <c r="K46" s="35">
        <f t="shared" si="16"/>
        <v>0</v>
      </c>
      <c r="L46" s="35">
        <f t="shared" si="16"/>
        <v>0</v>
      </c>
      <c r="M46" s="35">
        <f t="shared" si="16"/>
        <v>0</v>
      </c>
      <c r="N46" s="35">
        <f t="shared" si="16"/>
        <v>0</v>
      </c>
      <c r="O46" s="35">
        <f t="shared" si="16"/>
        <v>0</v>
      </c>
      <c r="P46" s="35">
        <f t="shared" si="16"/>
        <v>0</v>
      </c>
      <c r="Q46" s="35">
        <f t="shared" si="16"/>
        <v>0</v>
      </c>
      <c r="R46" s="35">
        <f t="shared" si="16"/>
        <v>0</v>
      </c>
      <c r="S46" s="35">
        <f t="shared" si="16"/>
        <v>0</v>
      </c>
      <c r="T46" s="35">
        <f t="shared" si="16"/>
        <v>0</v>
      </c>
      <c r="U46" s="35">
        <f t="shared" si="16"/>
        <v>0</v>
      </c>
      <c r="V46" s="29">
        <f t="shared" si="1"/>
        <v>0</v>
      </c>
      <c r="W46" s="29">
        <f t="shared" si="2"/>
        <v>0</v>
      </c>
      <c r="X46" s="29">
        <f t="shared" si="3"/>
        <v>0</v>
      </c>
      <c r="Y46" s="29">
        <f t="shared" si="4"/>
        <v>0</v>
      </c>
      <c r="Z46" s="29">
        <f t="shared" si="5"/>
        <v>0</v>
      </c>
      <c r="AA46" s="29">
        <f t="shared" si="6"/>
        <v>0</v>
      </c>
      <c r="AB46" s="29">
        <f t="shared" si="7"/>
        <v>0</v>
      </c>
      <c r="AC46" s="29">
        <f t="shared" si="8"/>
        <v>0</v>
      </c>
      <c r="AD46" s="29">
        <f t="shared" si="9"/>
        <v>0</v>
      </c>
      <c r="AE46" s="29">
        <f t="shared" si="10"/>
        <v>0</v>
      </c>
      <c r="AF46" s="29">
        <f t="shared" si="11"/>
        <v>0</v>
      </c>
      <c r="AG46" s="29">
        <f t="shared" si="12"/>
        <v>0</v>
      </c>
      <c r="AH46" s="24">
        <f t="shared" si="13"/>
        <v>0</v>
      </c>
    </row>
    <row r="47" spans="1:34" x14ac:dyDescent="0.35">
      <c r="A47" s="57"/>
      <c r="B47" s="57"/>
      <c r="C47" s="57"/>
      <c r="D47" s="57"/>
      <c r="E47" s="58"/>
      <c r="F47" s="58"/>
      <c r="G47" s="59"/>
      <c r="H47" s="60"/>
      <c r="I47" s="60"/>
      <c r="J47" s="35">
        <f t="shared" si="16"/>
        <v>0</v>
      </c>
      <c r="K47" s="35">
        <f t="shared" si="16"/>
        <v>0</v>
      </c>
      <c r="L47" s="35">
        <f t="shared" si="16"/>
        <v>0</v>
      </c>
      <c r="M47" s="35">
        <f t="shared" si="16"/>
        <v>0</v>
      </c>
      <c r="N47" s="35">
        <f t="shared" si="16"/>
        <v>0</v>
      </c>
      <c r="O47" s="35">
        <f t="shared" si="16"/>
        <v>0</v>
      </c>
      <c r="P47" s="35">
        <f t="shared" si="16"/>
        <v>0</v>
      </c>
      <c r="Q47" s="35">
        <f t="shared" si="16"/>
        <v>0</v>
      </c>
      <c r="R47" s="35">
        <f t="shared" si="16"/>
        <v>0</v>
      </c>
      <c r="S47" s="35">
        <f t="shared" si="16"/>
        <v>0</v>
      </c>
      <c r="T47" s="35">
        <f t="shared" si="16"/>
        <v>0</v>
      </c>
      <c r="U47" s="35">
        <f t="shared" si="16"/>
        <v>0</v>
      </c>
      <c r="V47" s="29">
        <f t="shared" si="1"/>
        <v>0</v>
      </c>
      <c r="W47" s="29">
        <f t="shared" si="2"/>
        <v>0</v>
      </c>
      <c r="X47" s="29">
        <f t="shared" si="3"/>
        <v>0</v>
      </c>
      <c r="Y47" s="29">
        <f t="shared" si="4"/>
        <v>0</v>
      </c>
      <c r="Z47" s="29">
        <f t="shared" si="5"/>
        <v>0</v>
      </c>
      <c r="AA47" s="29">
        <f t="shared" si="6"/>
        <v>0</v>
      </c>
      <c r="AB47" s="29">
        <f t="shared" si="7"/>
        <v>0</v>
      </c>
      <c r="AC47" s="29">
        <f t="shared" si="8"/>
        <v>0</v>
      </c>
      <c r="AD47" s="29">
        <f t="shared" si="9"/>
        <v>0</v>
      </c>
      <c r="AE47" s="29">
        <f t="shared" si="10"/>
        <v>0</v>
      </c>
      <c r="AF47" s="29">
        <f t="shared" si="11"/>
        <v>0</v>
      </c>
      <c r="AG47" s="29">
        <f t="shared" si="12"/>
        <v>0</v>
      </c>
      <c r="AH47" s="24">
        <f t="shared" si="13"/>
        <v>0</v>
      </c>
    </row>
    <row r="48" spans="1:34" x14ac:dyDescent="0.35">
      <c r="A48" s="61"/>
      <c r="B48" s="61"/>
      <c r="C48" s="61"/>
      <c r="D48" s="61"/>
      <c r="E48" s="61"/>
      <c r="F48" s="61"/>
      <c r="G48" s="61"/>
      <c r="H48" s="61"/>
      <c r="I48" s="61"/>
      <c r="J48" s="2"/>
      <c r="K48" s="2"/>
      <c r="L48" s="2"/>
      <c r="M48" s="2"/>
      <c r="N48" s="2"/>
      <c r="O48" s="2"/>
      <c r="P48" s="2"/>
      <c r="Q48" s="2"/>
      <c r="R48" s="2"/>
      <c r="S48" s="2"/>
      <c r="T48" s="2"/>
      <c r="U48" s="2"/>
      <c r="V48" s="2"/>
      <c r="W48" s="2"/>
      <c r="X48" s="2"/>
      <c r="Y48" s="2"/>
      <c r="Z48" s="2"/>
      <c r="AA48" s="2"/>
      <c r="AB48" s="2"/>
      <c r="AC48" s="2"/>
      <c r="AD48" s="2"/>
      <c r="AE48" s="2"/>
      <c r="AF48" s="2"/>
      <c r="AG48" s="2"/>
      <c r="AH48" s="2"/>
    </row>
    <row r="49" spans="1:34" x14ac:dyDescent="0.35">
      <c r="A49" s="15" t="s">
        <v>414</v>
      </c>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34" ht="25.5" customHeight="1" x14ac:dyDescent="0.35">
      <c r="A50" s="13"/>
      <c r="B50" s="13" t="s">
        <v>339</v>
      </c>
      <c r="C50" s="14"/>
      <c r="D50" s="14"/>
      <c r="E50" s="14"/>
      <c r="F50" s="14"/>
      <c r="G50" s="14"/>
      <c r="H50" s="14"/>
      <c r="I50" s="14"/>
      <c r="J50" s="14" t="s">
        <v>346</v>
      </c>
      <c r="K50" s="14" t="s">
        <v>347</v>
      </c>
      <c r="L50" s="14" t="s">
        <v>348</v>
      </c>
      <c r="M50" s="14" t="s">
        <v>349</v>
      </c>
      <c r="N50" s="14" t="s">
        <v>350</v>
      </c>
      <c r="O50" s="14" t="s">
        <v>351</v>
      </c>
      <c r="P50" s="14" t="s">
        <v>352</v>
      </c>
      <c r="Q50" s="14" t="s">
        <v>353</v>
      </c>
      <c r="R50" s="14" t="s">
        <v>354</v>
      </c>
      <c r="S50" s="14" t="s">
        <v>355</v>
      </c>
      <c r="T50" s="14" t="s">
        <v>356</v>
      </c>
      <c r="U50" s="14" t="s">
        <v>357</v>
      </c>
      <c r="V50" s="14" t="s">
        <v>358</v>
      </c>
      <c r="W50" s="14" t="s">
        <v>359</v>
      </c>
      <c r="X50" s="14" t="s">
        <v>360</v>
      </c>
      <c r="Y50" s="14" t="s">
        <v>361</v>
      </c>
      <c r="Z50" s="14" t="s">
        <v>362</v>
      </c>
      <c r="AA50" s="14" t="s">
        <v>363</v>
      </c>
      <c r="AB50" s="14" t="s">
        <v>364</v>
      </c>
      <c r="AC50" s="14" t="s">
        <v>365</v>
      </c>
      <c r="AD50" s="14" t="s">
        <v>366</v>
      </c>
      <c r="AE50" s="14" t="s">
        <v>367</v>
      </c>
      <c r="AF50" s="14" t="s">
        <v>368</v>
      </c>
      <c r="AG50" s="14" t="s">
        <v>369</v>
      </c>
      <c r="AH50" s="14" t="s">
        <v>370</v>
      </c>
    </row>
    <row r="51" spans="1:34" x14ac:dyDescent="0.35">
      <c r="A51" s="2"/>
      <c r="B51" s="23" t="str">
        <f>Lists!A2</f>
        <v>Billing &amp; Invoicing</v>
      </c>
      <c r="C51" s="2"/>
      <c r="D51" s="2"/>
      <c r="E51" s="2"/>
      <c r="F51" s="2"/>
      <c r="G51" s="2"/>
      <c r="H51" s="2"/>
      <c r="I51" s="2"/>
      <c r="J51" s="35">
        <f t="shared" ref="J51:S55" si="17">SUMIF($C$8:$C$47,$B51,J$8:J$47)</f>
        <v>1</v>
      </c>
      <c r="K51" s="35">
        <f t="shared" si="17"/>
        <v>1</v>
      </c>
      <c r="L51" s="35">
        <f t="shared" si="17"/>
        <v>1</v>
      </c>
      <c r="M51" s="35">
        <f t="shared" si="17"/>
        <v>3</v>
      </c>
      <c r="N51" s="35">
        <f t="shared" si="17"/>
        <v>3</v>
      </c>
      <c r="O51" s="35">
        <f t="shared" si="17"/>
        <v>3</v>
      </c>
      <c r="P51" s="35">
        <f t="shared" si="17"/>
        <v>3</v>
      </c>
      <c r="Q51" s="35">
        <f t="shared" si="17"/>
        <v>3</v>
      </c>
      <c r="R51" s="35">
        <f t="shared" si="17"/>
        <v>3</v>
      </c>
      <c r="S51" s="35">
        <f t="shared" si="17"/>
        <v>3</v>
      </c>
      <c r="T51" s="35">
        <f t="shared" ref="T51:AG55" si="18">SUMIF($C$8:$C$47,$B51,T$8:T$47)</f>
        <v>3</v>
      </c>
      <c r="U51" s="35">
        <f t="shared" si="18"/>
        <v>3</v>
      </c>
      <c r="V51" s="29">
        <f t="shared" si="18"/>
        <v>5583.333333333333</v>
      </c>
      <c r="W51" s="29">
        <f t="shared" si="18"/>
        <v>5583.333333333333</v>
      </c>
      <c r="X51" s="29">
        <f t="shared" si="18"/>
        <v>5583.333333333333</v>
      </c>
      <c r="Y51" s="29">
        <f t="shared" si="18"/>
        <v>12953.333333333332</v>
      </c>
      <c r="Z51" s="29">
        <f t="shared" si="18"/>
        <v>12953.333333333332</v>
      </c>
      <c r="AA51" s="29">
        <f t="shared" si="18"/>
        <v>12953.333333333332</v>
      </c>
      <c r="AB51" s="29">
        <f t="shared" si="18"/>
        <v>12953.333333333332</v>
      </c>
      <c r="AC51" s="29">
        <f t="shared" si="18"/>
        <v>12953.333333333332</v>
      </c>
      <c r="AD51" s="29">
        <f t="shared" si="18"/>
        <v>12953.333333333332</v>
      </c>
      <c r="AE51" s="29">
        <f t="shared" si="18"/>
        <v>12953.333333333332</v>
      </c>
      <c r="AF51" s="29">
        <f t="shared" si="18"/>
        <v>12953.333333333332</v>
      </c>
      <c r="AG51" s="29">
        <f t="shared" si="18"/>
        <v>12953.333333333332</v>
      </c>
      <c r="AH51" s="24">
        <f t="shared" ref="AH51:AH56" si="19">SUM(V51:AG51)</f>
        <v>133329.99999999997</v>
      </c>
    </row>
    <row r="52" spans="1:34" x14ac:dyDescent="0.35">
      <c r="A52" s="2"/>
      <c r="B52" s="23" t="str">
        <f>Lists!A3</f>
        <v>Customer Service</v>
      </c>
      <c r="C52" s="2"/>
      <c r="D52" s="2"/>
      <c r="E52" s="2"/>
      <c r="F52" s="2"/>
      <c r="G52" s="2"/>
      <c r="H52" s="2"/>
      <c r="I52" s="2"/>
      <c r="J52" s="35">
        <f t="shared" si="17"/>
        <v>1</v>
      </c>
      <c r="K52" s="35">
        <f t="shared" si="17"/>
        <v>1</v>
      </c>
      <c r="L52" s="35">
        <f t="shared" si="17"/>
        <v>1</v>
      </c>
      <c r="M52" s="35">
        <f t="shared" si="17"/>
        <v>3</v>
      </c>
      <c r="N52" s="35">
        <f t="shared" si="17"/>
        <v>3</v>
      </c>
      <c r="O52" s="35">
        <f t="shared" si="17"/>
        <v>3</v>
      </c>
      <c r="P52" s="35">
        <f t="shared" si="17"/>
        <v>3</v>
      </c>
      <c r="Q52" s="35">
        <f t="shared" si="17"/>
        <v>3</v>
      </c>
      <c r="R52" s="35">
        <f t="shared" si="17"/>
        <v>3</v>
      </c>
      <c r="S52" s="35">
        <f t="shared" si="17"/>
        <v>3</v>
      </c>
      <c r="T52" s="35">
        <f t="shared" si="18"/>
        <v>3</v>
      </c>
      <c r="U52" s="35">
        <f t="shared" si="18"/>
        <v>3</v>
      </c>
      <c r="V52" s="29">
        <f t="shared" si="18"/>
        <v>4243.333333333333</v>
      </c>
      <c r="W52" s="29">
        <f t="shared" si="18"/>
        <v>4243.333333333333</v>
      </c>
      <c r="X52" s="29">
        <f t="shared" si="18"/>
        <v>4243.333333333333</v>
      </c>
      <c r="Y52" s="29">
        <f t="shared" si="18"/>
        <v>22618.333333333332</v>
      </c>
      <c r="Z52" s="29">
        <f t="shared" si="18"/>
        <v>12618.333333333332</v>
      </c>
      <c r="AA52" s="29">
        <f t="shared" si="18"/>
        <v>12618.333333333332</v>
      </c>
      <c r="AB52" s="29">
        <f t="shared" si="18"/>
        <v>12618.333333333332</v>
      </c>
      <c r="AC52" s="29">
        <f t="shared" si="18"/>
        <v>12618.333333333332</v>
      </c>
      <c r="AD52" s="29">
        <f t="shared" si="18"/>
        <v>12618.333333333332</v>
      </c>
      <c r="AE52" s="29">
        <f t="shared" si="18"/>
        <v>12618.333333333332</v>
      </c>
      <c r="AF52" s="29">
        <f t="shared" si="18"/>
        <v>12618.333333333332</v>
      </c>
      <c r="AG52" s="29">
        <f t="shared" si="18"/>
        <v>12618.333333333332</v>
      </c>
      <c r="AH52" s="24">
        <f t="shared" si="19"/>
        <v>136294.99999999997</v>
      </c>
    </row>
    <row r="53" spans="1:34" x14ac:dyDescent="0.35">
      <c r="A53" s="2"/>
      <c r="B53" s="23" t="str">
        <f>Lists!A4</f>
        <v>Operations &amp; Service</v>
      </c>
      <c r="C53" s="2"/>
      <c r="D53" s="2"/>
      <c r="E53" s="2"/>
      <c r="F53" s="2"/>
      <c r="G53" s="2"/>
      <c r="H53" s="2"/>
      <c r="I53" s="2"/>
      <c r="J53" s="35">
        <f t="shared" si="17"/>
        <v>3</v>
      </c>
      <c r="K53" s="35">
        <f t="shared" si="17"/>
        <v>3</v>
      </c>
      <c r="L53" s="35">
        <f t="shared" si="17"/>
        <v>3</v>
      </c>
      <c r="M53" s="35">
        <f t="shared" si="17"/>
        <v>3</v>
      </c>
      <c r="N53" s="35">
        <f t="shared" si="17"/>
        <v>3</v>
      </c>
      <c r="O53" s="35">
        <f t="shared" si="17"/>
        <v>3</v>
      </c>
      <c r="P53" s="35">
        <f t="shared" si="17"/>
        <v>3</v>
      </c>
      <c r="Q53" s="35">
        <f t="shared" si="17"/>
        <v>3</v>
      </c>
      <c r="R53" s="35">
        <f t="shared" si="17"/>
        <v>3</v>
      </c>
      <c r="S53" s="35">
        <f t="shared" si="17"/>
        <v>3</v>
      </c>
      <c r="T53" s="35">
        <f t="shared" si="18"/>
        <v>3</v>
      </c>
      <c r="U53" s="35">
        <f t="shared" si="18"/>
        <v>3</v>
      </c>
      <c r="V53" s="29">
        <f t="shared" si="18"/>
        <v>53391.666666666672</v>
      </c>
      <c r="W53" s="29">
        <f t="shared" si="18"/>
        <v>42391.666666666664</v>
      </c>
      <c r="X53" s="29">
        <f t="shared" si="18"/>
        <v>42391.666666666664</v>
      </c>
      <c r="Y53" s="29">
        <f t="shared" si="18"/>
        <v>42391.666666666664</v>
      </c>
      <c r="Z53" s="29">
        <f t="shared" si="18"/>
        <v>42391.666666666664</v>
      </c>
      <c r="AA53" s="29">
        <f t="shared" si="18"/>
        <v>42391.666666666664</v>
      </c>
      <c r="AB53" s="29">
        <f t="shared" si="18"/>
        <v>42391.666666666664</v>
      </c>
      <c r="AC53" s="29">
        <f t="shared" si="18"/>
        <v>42391.666666666664</v>
      </c>
      <c r="AD53" s="29">
        <f t="shared" si="18"/>
        <v>42391.666666666664</v>
      </c>
      <c r="AE53" s="29">
        <f t="shared" si="18"/>
        <v>42391.666666666664</v>
      </c>
      <c r="AF53" s="29">
        <f t="shared" si="18"/>
        <v>42391.666666666664</v>
      </c>
      <c r="AG53" s="29">
        <f t="shared" si="18"/>
        <v>42391.666666666664</v>
      </c>
      <c r="AH53" s="24">
        <f t="shared" si="19"/>
        <v>519700.00000000012</v>
      </c>
    </row>
    <row r="54" spans="1:34" x14ac:dyDescent="0.35">
      <c r="A54" s="2"/>
      <c r="B54" s="23" t="str">
        <f>Lists!A5</f>
        <v>Pricing &amp; Risk Management</v>
      </c>
      <c r="C54" s="2"/>
      <c r="D54" s="2"/>
      <c r="E54" s="2"/>
      <c r="F54" s="2"/>
      <c r="G54" s="2"/>
      <c r="H54" s="2"/>
      <c r="I54" s="2"/>
      <c r="J54" s="35">
        <f t="shared" si="17"/>
        <v>1</v>
      </c>
      <c r="K54" s="35">
        <f t="shared" si="17"/>
        <v>1</v>
      </c>
      <c r="L54" s="35">
        <f t="shared" si="17"/>
        <v>1</v>
      </c>
      <c r="M54" s="35">
        <f t="shared" si="17"/>
        <v>2</v>
      </c>
      <c r="N54" s="35">
        <f t="shared" si="17"/>
        <v>2</v>
      </c>
      <c r="O54" s="35">
        <f t="shared" si="17"/>
        <v>2</v>
      </c>
      <c r="P54" s="35">
        <f t="shared" si="17"/>
        <v>2</v>
      </c>
      <c r="Q54" s="35">
        <f t="shared" si="17"/>
        <v>2</v>
      </c>
      <c r="R54" s="35">
        <f t="shared" si="17"/>
        <v>2</v>
      </c>
      <c r="S54" s="35">
        <f t="shared" si="17"/>
        <v>2</v>
      </c>
      <c r="T54" s="35">
        <f t="shared" si="18"/>
        <v>2</v>
      </c>
      <c r="U54" s="35">
        <f t="shared" si="18"/>
        <v>2</v>
      </c>
      <c r="V54" s="29">
        <f t="shared" si="18"/>
        <v>6476.666666666667</v>
      </c>
      <c r="W54" s="29">
        <f t="shared" si="18"/>
        <v>6476.666666666667</v>
      </c>
      <c r="X54" s="29">
        <f t="shared" si="18"/>
        <v>6476.666666666667</v>
      </c>
      <c r="Y54" s="29">
        <f t="shared" si="18"/>
        <v>12060</v>
      </c>
      <c r="Z54" s="29">
        <f t="shared" si="18"/>
        <v>12060</v>
      </c>
      <c r="AA54" s="29">
        <f t="shared" si="18"/>
        <v>12060</v>
      </c>
      <c r="AB54" s="29">
        <f t="shared" si="18"/>
        <v>12060</v>
      </c>
      <c r="AC54" s="29">
        <f t="shared" si="18"/>
        <v>12060</v>
      </c>
      <c r="AD54" s="29">
        <f t="shared" si="18"/>
        <v>12060</v>
      </c>
      <c r="AE54" s="29">
        <f t="shared" si="18"/>
        <v>12060</v>
      </c>
      <c r="AF54" s="29">
        <f t="shared" si="18"/>
        <v>12060</v>
      </c>
      <c r="AG54" s="29">
        <f t="shared" si="18"/>
        <v>12060</v>
      </c>
      <c r="AH54" s="24">
        <f t="shared" si="19"/>
        <v>127970</v>
      </c>
    </row>
    <row r="55" spans="1:34" x14ac:dyDescent="0.35">
      <c r="A55" s="2"/>
      <c r="B55" s="23" t="str">
        <f>Lists!A6</f>
        <v>Switching &amp; Metering</v>
      </c>
      <c r="C55" s="2"/>
      <c r="D55" s="2"/>
      <c r="E55" s="2"/>
      <c r="F55" s="2"/>
      <c r="G55" s="2"/>
      <c r="H55" s="2"/>
      <c r="I55" s="2"/>
      <c r="J55" s="35">
        <f t="shared" si="17"/>
        <v>2</v>
      </c>
      <c r="K55" s="35">
        <f t="shared" si="17"/>
        <v>2</v>
      </c>
      <c r="L55" s="35">
        <f t="shared" si="17"/>
        <v>2</v>
      </c>
      <c r="M55" s="35">
        <f t="shared" si="17"/>
        <v>2</v>
      </c>
      <c r="N55" s="35">
        <f t="shared" si="17"/>
        <v>2</v>
      </c>
      <c r="O55" s="35">
        <f t="shared" si="17"/>
        <v>2</v>
      </c>
      <c r="P55" s="35">
        <f t="shared" si="17"/>
        <v>2</v>
      </c>
      <c r="Q55" s="35">
        <f t="shared" si="17"/>
        <v>2</v>
      </c>
      <c r="R55" s="35">
        <f t="shared" si="17"/>
        <v>2</v>
      </c>
      <c r="S55" s="35">
        <f t="shared" si="17"/>
        <v>2</v>
      </c>
      <c r="T55" s="35">
        <f t="shared" si="18"/>
        <v>2</v>
      </c>
      <c r="U55" s="35">
        <f t="shared" si="18"/>
        <v>2</v>
      </c>
      <c r="V55" s="29">
        <f t="shared" si="18"/>
        <v>9603.3333333333321</v>
      </c>
      <c r="W55" s="29">
        <f t="shared" si="18"/>
        <v>9603.3333333333321</v>
      </c>
      <c r="X55" s="29">
        <f t="shared" si="18"/>
        <v>9603.3333333333321</v>
      </c>
      <c r="Y55" s="29">
        <f t="shared" si="18"/>
        <v>9603.3333333333321</v>
      </c>
      <c r="Z55" s="29">
        <f t="shared" si="18"/>
        <v>9603.3333333333321</v>
      </c>
      <c r="AA55" s="29">
        <f t="shared" si="18"/>
        <v>9603.3333333333321</v>
      </c>
      <c r="AB55" s="29">
        <f t="shared" si="18"/>
        <v>9603.3333333333321</v>
      </c>
      <c r="AC55" s="29">
        <f t="shared" si="18"/>
        <v>9603.3333333333321</v>
      </c>
      <c r="AD55" s="29">
        <f t="shared" si="18"/>
        <v>9603.3333333333321</v>
      </c>
      <c r="AE55" s="29">
        <f t="shared" si="18"/>
        <v>9603.3333333333321</v>
      </c>
      <c r="AF55" s="29">
        <f t="shared" si="18"/>
        <v>9603.3333333333321</v>
      </c>
      <c r="AG55" s="29">
        <f t="shared" si="18"/>
        <v>9603.3333333333321</v>
      </c>
      <c r="AH55" s="24">
        <f t="shared" si="19"/>
        <v>115239.99999999996</v>
      </c>
    </row>
    <row r="56" spans="1:34" x14ac:dyDescent="0.35">
      <c r="A56" s="62"/>
      <c r="B56" s="63" t="s">
        <v>415</v>
      </c>
      <c r="C56" s="62"/>
      <c r="D56" s="62"/>
      <c r="E56" s="62"/>
      <c r="F56" s="62"/>
      <c r="G56" s="62"/>
      <c r="H56" s="62"/>
      <c r="I56" s="62"/>
      <c r="J56" s="64">
        <f t="shared" ref="J56:AG56" si="20">SUM(J51:J55)</f>
        <v>8</v>
      </c>
      <c r="K56" s="64">
        <f t="shared" si="20"/>
        <v>8</v>
      </c>
      <c r="L56" s="64">
        <f t="shared" si="20"/>
        <v>8</v>
      </c>
      <c r="M56" s="64">
        <f t="shared" si="20"/>
        <v>13</v>
      </c>
      <c r="N56" s="64">
        <f t="shared" si="20"/>
        <v>13</v>
      </c>
      <c r="O56" s="64">
        <f t="shared" si="20"/>
        <v>13</v>
      </c>
      <c r="P56" s="64">
        <f t="shared" si="20"/>
        <v>13</v>
      </c>
      <c r="Q56" s="64">
        <f t="shared" si="20"/>
        <v>13</v>
      </c>
      <c r="R56" s="64">
        <f t="shared" si="20"/>
        <v>13</v>
      </c>
      <c r="S56" s="64">
        <f t="shared" si="20"/>
        <v>13</v>
      </c>
      <c r="T56" s="64">
        <f t="shared" si="20"/>
        <v>13</v>
      </c>
      <c r="U56" s="64">
        <f t="shared" si="20"/>
        <v>13</v>
      </c>
      <c r="V56" s="65">
        <f t="shared" si="20"/>
        <v>79298.333333333328</v>
      </c>
      <c r="W56" s="65">
        <f t="shared" si="20"/>
        <v>68298.333333333328</v>
      </c>
      <c r="X56" s="65">
        <f t="shared" si="20"/>
        <v>68298.333333333328</v>
      </c>
      <c r="Y56" s="65">
        <f t="shared" si="20"/>
        <v>99626.666666666657</v>
      </c>
      <c r="Z56" s="65">
        <f t="shared" si="20"/>
        <v>89626.666666666657</v>
      </c>
      <c r="AA56" s="65">
        <f t="shared" si="20"/>
        <v>89626.666666666657</v>
      </c>
      <c r="AB56" s="65">
        <f t="shared" si="20"/>
        <v>89626.666666666657</v>
      </c>
      <c r="AC56" s="65">
        <f t="shared" si="20"/>
        <v>89626.666666666657</v>
      </c>
      <c r="AD56" s="65">
        <f t="shared" si="20"/>
        <v>89626.666666666657</v>
      </c>
      <c r="AE56" s="65">
        <f t="shared" si="20"/>
        <v>89626.666666666657</v>
      </c>
      <c r="AF56" s="65">
        <f t="shared" si="20"/>
        <v>89626.666666666657</v>
      </c>
      <c r="AG56" s="65">
        <f t="shared" si="20"/>
        <v>89626.666666666657</v>
      </c>
      <c r="AH56" s="65">
        <f t="shared" si="19"/>
        <v>1032534.9999999997</v>
      </c>
    </row>
    <row r="57" spans="1:34" x14ac:dyDescent="0.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spans="1:34" x14ac:dyDescent="0.35">
      <c r="A58" s="2"/>
      <c r="B58" s="30" t="s">
        <v>416</v>
      </c>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66">
        <f>SUM(AH8:AH47)-AH56</f>
        <v>0</v>
      </c>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400-000000000000}">
          <x14:formula1>
            <xm:f>Lists!$A$2:$A$6</xm:f>
          </x14:formula1>
          <x14:formula2>
            <xm:f>0</xm:f>
          </x14:formula2>
          <xm:sqref>C8:C47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showGridLines="0" zoomScaleNormal="100" workbookViewId="0"/>
  </sheetViews>
  <sheetFormatPr defaultColWidth="8.6328125" defaultRowHeight="14.5" x14ac:dyDescent="0.35"/>
  <cols>
    <col min="1" max="1" width="30" customWidth="1"/>
  </cols>
  <sheetData>
    <row r="1" spans="1:3" x14ac:dyDescent="0.35">
      <c r="A1" s="34" t="s">
        <v>417</v>
      </c>
      <c r="B1" s="2"/>
      <c r="C1" s="4" t="s">
        <v>418</v>
      </c>
    </row>
    <row r="2" spans="1:3" x14ac:dyDescent="0.35">
      <c r="A2" s="67" t="s">
        <v>390</v>
      </c>
      <c r="B2" s="2"/>
      <c r="C2" s="2"/>
    </row>
    <row r="3" spans="1:3" x14ac:dyDescent="0.35">
      <c r="A3" s="67" t="s">
        <v>380</v>
      </c>
      <c r="B3" s="2"/>
      <c r="C3" s="2"/>
    </row>
    <row r="4" spans="1:3" x14ac:dyDescent="0.35">
      <c r="A4" s="67" t="s">
        <v>373</v>
      </c>
      <c r="B4" s="2"/>
      <c r="C4" s="2"/>
    </row>
    <row r="5" spans="1:3" x14ac:dyDescent="0.35">
      <c r="A5" s="67" t="s">
        <v>401</v>
      </c>
      <c r="B5" s="2"/>
      <c r="C5" s="2"/>
    </row>
    <row r="6" spans="1:3" x14ac:dyDescent="0.35">
      <c r="A6" s="67" t="s">
        <v>394</v>
      </c>
      <c r="B6" s="2"/>
      <c r="C6" s="2"/>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Summary</vt:lpstr>
      <vt:lpstr>Inputs</vt:lpstr>
      <vt:lpstr>Calculations</vt:lpstr>
      <vt:lpstr>Personnel</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Perolari, Luca</cp:lastModifiedBy>
  <cp:revision>0</cp:revision>
  <dcterms:created xsi:type="dcterms:W3CDTF">2026-10-16T14:07:24Z</dcterms:created>
  <dcterms:modified xsi:type="dcterms:W3CDTF">2026-10-16T16:12:40Z</dcterms:modified>
  <dc:language>en-US</dc:language>
</cp:coreProperties>
</file>